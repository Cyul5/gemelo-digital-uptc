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ropbox\Taller X\"/>
    </mc:Choice>
  </mc:AlternateContent>
  <xr:revisionPtr revIDLastSave="0" documentId="13_ncr:1_{B0DDBBCD-0981-423B-B85F-E7675156EE23}" xr6:coauthVersionLast="47" xr6:coauthVersionMax="47" xr10:uidLastSave="{00000000-0000-0000-0000-000000000000}"/>
  <bookViews>
    <workbookView xWindow="-120" yWindow="-120" windowWidth="29040" windowHeight="15720" tabRatio="500" firstSheet="5" activeTab="5" xr2:uid="{00000000-000D-0000-FFFF-FFFF00000000}"/>
  </bookViews>
  <sheets>
    <sheet name="Instrucciones" sheetId="1" r:id="rId1"/>
    <sheet name="Resumen" sheetId="2" r:id="rId2"/>
    <sheet name="Datos Generales" sheetId="3" r:id="rId3"/>
    <sheet name="Inventario Espacios" sheetId="4" r:id="rId4"/>
    <sheet name="Mobiliario y Equipo" sheetId="5" r:id="rId5"/>
    <sheet name="Horarios de Uso" sheetId="6" r:id="rId6"/>
    <sheet name="Accesibilidad y Seguridad" sheetId="7" r:id="rId7"/>
    <sheet name="Instalaciones por Piso" sheetId="8" r:id="rId8"/>
    <sheet name="Listas" sheetId="9" r:id="rId9"/>
  </sheets>
  <definedNames>
    <definedName name="_xlnm._FilterDatabase" localSheetId="6" hidden="1">'Accesibilidad y Seguridad'!$A$4:$R$75</definedName>
    <definedName name="_xlnm._FilterDatabase" localSheetId="5" hidden="1">'Horarios de Uso'!$A$4:$M$155</definedName>
    <definedName name="_xlnm._FilterDatabase" localSheetId="7" hidden="1">'Instalaciones por Piso'!$A$4:$O$9</definedName>
    <definedName name="_xlnm._FilterDatabase" localSheetId="3" hidden="1">'Inventario Espacios'!$A$4:$AA$74</definedName>
    <definedName name="_xlnm._FilterDatabase" localSheetId="4" hidden="1">'Mobiliario y Equipo'!$A$4:$S$75</definedName>
    <definedName name="Bueno">'Datos Generales'!$I$30:$J$30</definedName>
    <definedName name="Malo">'Datos Generales'!$J$30</definedName>
    <definedName name="Operativo_y_estéticamente_aceptable._Presenta_marcas_superficiales_mínimas_propias_del_uso_reciente__pero_no_afectan_la_apariencia_general_ni_la_seguridad.">'Datos Generales'!$I$30:$J$30</definedName>
    <definedName name="Regular">'Datos Generales'!$I$30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4" i="2" l="1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4" i="2"/>
  <c r="B33" i="2"/>
  <c r="B32" i="2"/>
  <c r="B31" i="2"/>
  <c r="B30" i="2"/>
  <c r="B29" i="2"/>
  <c r="C25" i="2"/>
  <c r="B25" i="2"/>
  <c r="C24" i="2"/>
  <c r="B24" i="2"/>
  <c r="C23" i="2"/>
  <c r="B23" i="2"/>
  <c r="C22" i="2"/>
  <c r="B22" i="2"/>
  <c r="C21" i="2"/>
  <c r="B21" i="2"/>
  <c r="B17" i="2"/>
  <c r="B16" i="2"/>
  <c r="B15" i="2"/>
  <c r="B14" i="2"/>
  <c r="B13" i="2"/>
  <c r="B11" i="2"/>
  <c r="B10" i="2"/>
  <c r="B8" i="2"/>
  <c r="B7" i="2"/>
  <c r="B9" i="2" s="1"/>
  <c r="B6" i="2"/>
  <c r="B5" i="2"/>
  <c r="B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400-000001000000}">
      <text>
        <r>
          <rPr>
            <sz val="10"/>
            <rFont val="Arial"/>
            <family val="2"/>
          </rPr>
          <t>Fila de ejemplo. Puede borrar su contenido (Suprimir) antes de iniciar el levantamiento real; no elimine la fila para no dañar los formatos y las listas desplegables.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500-000001000000}">
      <text>
        <r>
          <rPr>
            <sz val="10"/>
            <rFont val="Arial"/>
            <family val="2"/>
          </rPr>
          <t>Fila de ejemplo. Puede borrar su contenido (Suprimir) antes de iniciar el levantamiento real; no elimine la fila para no dañar los formatos y las listas desplegables.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600-000001000000}">
      <text>
        <r>
          <rPr>
            <sz val="10"/>
            <rFont val="Arial"/>
            <family val="2"/>
          </rPr>
          <t>Fila de ejemplo. Puede borrar su contenido (Suprimir) antes de iniciar el levantamiento real; no elimine la fila para no dañar los formatos y las listas desplegables.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700-000001000000}">
      <text>
        <r>
          <rPr>
            <sz val="10"/>
            <rFont val="Arial"/>
            <family val="2"/>
          </rPr>
          <t>Fila de ejemplo. Puede borrar su contenido (Suprimir) antes de iniciar el levantamiento real; no elimine la fila para no dañar los formatos y las listas desplegables.</t>
        </r>
      </text>
    </comment>
  </commentList>
</comments>
</file>

<file path=xl/sharedStrings.xml><?xml version="1.0" encoding="utf-8"?>
<sst xmlns="http://schemas.openxmlformats.org/spreadsheetml/2006/main" count="510" uniqueCount="367">
  <si>
    <t>Levantamiento de Datos del Edificio de Aulas — Guía de uso</t>
  </si>
  <si>
    <t>Este libro está diseñado para levantar, de forma detallada, la información física, de mobiliario, de uso y de accesibilidad/seguridad de un edificio de aulas de 5 pisos. Cada hoja cubre un aspecto distinto del levantamiento y agrupa sus columnas en categorías para facilitar la lectura. Complete una hoja a la vez, recorriendo el edificio piso por piso y espacio por espacio.</t>
  </si>
  <si>
    <t>Contenido del libro</t>
  </si>
  <si>
    <t>• Datos Generales:  Ficha única con la información global del edificio, organizada en categorías (1, 2, 3...) y subcategorías (1.1, 1.2...): identificación, datos constructivos, servicios, accesos/seguridad general y exteriores.</t>
  </si>
  <si>
    <t>• Inventario de Espacios:  Un registro por cada salón/espacio del edificio: piso, Categoría y Subcategoría del espacio, área, capacidad, estado y condiciones de acceso.</t>
  </si>
  <si>
    <t>• Mobiliario y Equipo:  El detalle de cada espacio: cuántas sillas, mesas, pizarras, luminarias, tomacorrientes, equipos, aires acondicionados, etc. hay y en qué estado.</t>
  </si>
  <si>
    <t>• Horarios de Uso:  Registro de en qué días, horas y para qué se usa cada espacio (una fila por sesión/franja horaria observada o programada).</t>
  </si>
  <si>
    <t>• Accesibilidad y Seguridad:  Condiciones de accesibilidad (rampas, anchos de puerta, ascensores) y de seguridad (extintores, alarmas, rutas de evacuación) por espacio.</t>
  </si>
  <si>
    <t>• Instalaciones por Piso:  Datos por piso que no son de un solo salón: baños, tableros eléctricos, bebederos, estado de acabados.</t>
  </si>
  <si>
    <t>• Resumen:  Tablero con totales y cruces calculados automáticamente a partir de las demás hojas (no se llena a mano).</t>
  </si>
  <si>
    <t>Categorías y subcategorías</t>
  </si>
  <si>
    <t>Encabezados agrupados:  en cada hoja de datos, la fila azul oscuro (justo encima del encabezado de columna) agrupa las columnas relacionadas bajo una categoría, por ejemplo 'Mobiliario', 'Tecnología y Enseñanza' o 'Seguridad y Emergencia'.</t>
  </si>
  <si>
    <t>Categoría/Subcategoría del espacio:  en 'Inventario de Espacios' cada salón se clasifica con dos niveles: Categoría (ej. Académico, Administrativo, Bienestar y Servicios, Circulación, Almacenamiento) y Subcategoría (ej. Aula, Laboratorio, Oficina, Baño...). Ambas columnas tienen lista desplegable.</t>
  </si>
  <si>
    <t>Datos Generales:  los datos del edificio están organizados en 5 categorías numeradas (1. Identificación... 5. Estacionamiento y exteriores) y cada una se divide en subcategorías (1.1, 1.2...) que agrupan campos afines.</t>
  </si>
  <si>
    <t>Cómo llenar cada hoja</t>
  </si>
  <si>
    <t>1.  Cada hoja de datos tiene una fila de EJEMPLO resaltada en amarillo. Úsela como referencia del formato esperado y luego borre su contenido (tecla Suprimir) sin eliminar la fila.</t>
  </si>
  <si>
    <t>2.  Use un mismo 'Código de espacio' (por ejemplo 101, 102, 201...) en todas las hojas para poder relacionar la información de un mismo salón entre hojas.</t>
  </si>
  <si>
    <t>3.  Las columnas con lista desplegable ya están validadas: haga clic en la celda y elija una opción de la lista (no escriba texto libre en esas columnas).</t>
  </si>
  <si>
    <t>4.  Hay filas en blanco preparadas y con formato listo (Inventario, Mobiliario, Accesibilidad: 70 filas · Horarios de Uso: 150 filas). Si necesita más, copie el formato de la última fila.</t>
  </si>
  <si>
    <t>5.  La hoja Resumen se actualiza sola con fórmulas; no escriba directamente sobre ella.</t>
  </si>
  <si>
    <t>6.  Registre la fecha del levantamiento y el responsable en la hoja 'Datos Generales'.</t>
  </si>
  <si>
    <t>Convenciones de color</t>
  </si>
  <si>
    <t>• Fila azul oscuro (categoría):  Agrupa varias columnas relacionadas (no editar).</t>
  </si>
  <si>
    <t>• Fila azul medio (encabezado):  Nombre exacto de cada columna (no editar).</t>
  </si>
  <si>
    <t>• Fila amarilla:  Fila de ejemplo — bórrela y reemplácela por sus datos.</t>
  </si>
  <si>
    <t>• Celdas en blanco:  Celdas listas para que usted digite o seleccione la información.</t>
  </si>
  <si>
    <t>Esta hoja se calcula automáticamente a partir de las demás hojas — no escriba aquí. Mientras la fila de EJEMPLO siga presente en las otras hojas, los totales la incluyen; bórrela (Suprimir, sin eliminar la fila) cuando inicie el levantamiento real para que los totales reflejen solo datos reales.</t>
  </si>
  <si>
    <t>1. Totales Generales</t>
  </si>
  <si>
    <t>Total de espacios inventariados</t>
  </si>
  <si>
    <t>Total de sillas registradas</t>
  </si>
  <si>
    <t>Total de luminarias registradas</t>
  </si>
  <si>
    <t>Luminarias funcionando</t>
  </si>
  <si>
    <t>% de luminarias funcionando</t>
  </si>
  <si>
    <t>Total de sesiones de uso registradas (Horarios)</t>
  </si>
  <si>
    <t>Espacios con acceso libre</t>
  </si>
  <si>
    <t>% de espacios con acceso libre</t>
  </si>
  <si>
    <t>Espacios en buen estado</t>
  </si>
  <si>
    <t>Espacios en estado regular</t>
  </si>
  <si>
    <t>Espacios en mal estado</t>
  </si>
  <si>
    <t>Total de sanitarios en el edificio</t>
  </si>
  <si>
    <t>Total de extintores registrados (por piso)</t>
  </si>
  <si>
    <t>2. Espacios y Sillas por Piso</t>
  </si>
  <si>
    <t>Piso</t>
  </si>
  <si>
    <t>N.º de espacios</t>
  </si>
  <si>
    <t>N.º de sillas</t>
  </si>
  <si>
    <t>3. Espacios por Categoría</t>
  </si>
  <si>
    <t>Categoría del espacio</t>
  </si>
  <si>
    <t>Académico</t>
  </si>
  <si>
    <t>Administrativo</t>
  </si>
  <si>
    <t>Bienestar y Servicios</t>
  </si>
  <si>
    <t>Circulación</t>
  </si>
  <si>
    <t>Almacenamiento</t>
  </si>
  <si>
    <t>Otro</t>
  </si>
  <si>
    <t>4. Espacios por Subcategoría</t>
  </si>
  <si>
    <t>Subcategoría del espacio</t>
  </si>
  <si>
    <t>Aula</t>
  </si>
  <si>
    <t>Laboratorio</t>
  </si>
  <si>
    <t>Auditorio</t>
  </si>
  <si>
    <t>Biblioteca</t>
  </si>
  <si>
    <t>Oficina</t>
  </si>
  <si>
    <t>Sala de profesores</t>
  </si>
  <si>
    <t>Sala de reuniones</t>
  </si>
  <si>
    <t>Baño</t>
  </si>
  <si>
    <t>Cafetería</t>
  </si>
  <si>
    <t>Enfermería/Primeros auxilios</t>
  </si>
  <si>
    <t>Pasillo</t>
  </si>
  <si>
    <t>Escalera</t>
  </si>
  <si>
    <t>Ascensor</t>
  </si>
  <si>
    <t>Vestíbulo/Hall</t>
  </si>
  <si>
    <t>Depósito/Bodega</t>
  </si>
  <si>
    <t>Archivo</t>
  </si>
  <si>
    <t>Datos Generales del Edificio</t>
  </si>
  <si>
    <t>Complete una sola vez la información global del edificio, organizada por categorías y subcategorías. Las celdas de la columna 'Valor' son para llenar; algunas tienen lista desplegable.</t>
  </si>
  <si>
    <t>Campo</t>
  </si>
  <si>
    <t>Valor</t>
  </si>
  <si>
    <t>Notas / Observaciones</t>
  </si>
  <si>
    <t>1. Identificación del Edificio</t>
  </si>
  <si>
    <t>1.1 Ubicación y Datos Básicos</t>
  </si>
  <si>
    <t>Nombre del edificio</t>
  </si>
  <si>
    <t>Código / identificador interno</t>
  </si>
  <si>
    <t>Institución / campus</t>
  </si>
  <si>
    <t>Dirección</t>
  </si>
  <si>
    <t>Ciudad</t>
  </si>
  <si>
    <t>Coordenadas GPS (lat, long)</t>
  </si>
  <si>
    <t>Uso principal del edificio</t>
  </si>
  <si>
    <t>1.2 Levantamiento</t>
  </si>
  <si>
    <t>Año de construcción</t>
  </si>
  <si>
    <t>Fecha del levantamiento</t>
  </si>
  <si>
    <t>Responsable del levantamiento</t>
  </si>
  <si>
    <t>Cargo del responsable</t>
  </si>
  <si>
    <t>Contacto (correo / teléfono)</t>
  </si>
  <si>
    <t>2. Datos Constructivos Generales</t>
  </si>
  <si>
    <t>2.1 Estructura y Envolvente</t>
  </si>
  <si>
    <t>Número de pisos</t>
  </si>
  <si>
    <t>Área total construida (m²)</t>
  </si>
  <si>
    <t>Área aproximada por piso (m²)</t>
  </si>
  <si>
    <t>Sistema estructural predominante</t>
  </si>
  <si>
    <t>Tipo de cubierta / techo</t>
  </si>
  <si>
    <t>Año de última remodelación</t>
  </si>
  <si>
    <t>Estado general de la estructura</t>
  </si>
  <si>
    <t>Material predominante de fachada</t>
  </si>
  <si>
    <t>2.2 Circulación Vertical</t>
  </si>
  <si>
    <t>Número de escaleras</t>
  </si>
  <si>
    <t>Ancho promedio de escaleras (m)</t>
  </si>
  <si>
    <t>Material de las escaleras</t>
  </si>
  <si>
    <t>Estado de las escaleras</t>
  </si>
  <si>
    <t>Número de ascensores</t>
  </si>
  <si>
    <t>Capacidad del ascensor (kg / personas)</t>
  </si>
  <si>
    <t>Estado de los ascensores</t>
  </si>
  <si>
    <t>¿Tiene rampas de acceso?</t>
  </si>
  <si>
    <t>Número de rampas</t>
  </si>
  <si>
    <t>3. Servicios e Instalaciones Generales</t>
  </si>
  <si>
    <t>3.1 Energía y Agua</t>
  </si>
  <si>
    <t>Empresa de suministro eléctrico</t>
  </si>
  <si>
    <t>¿Tiene planta eléctrica de emergencia?</t>
  </si>
  <si>
    <t>Capacidad de la planta eléctrica (kVA)</t>
  </si>
  <si>
    <t>Fuente de suministro de agua</t>
  </si>
  <si>
    <t>¿Tiene tanque de reserva de agua?</t>
  </si>
  <si>
    <t>Capacidad del tanque de reserva (L)</t>
  </si>
  <si>
    <t>3.2 Tecnología y Seguridad Electrónica</t>
  </si>
  <si>
    <t>¿Tiene red de internet / datos?</t>
  </si>
  <si>
    <t>Cobertura de WiFi</t>
  </si>
  <si>
    <t>¿Tiene cámaras de seguridad (CCTV)?</t>
  </si>
  <si>
    <t>Número de cámaras</t>
  </si>
  <si>
    <t>¿Tiene sistema de sonido / megafonía general?</t>
  </si>
  <si>
    <t>4. Accesos y Seguridad General</t>
  </si>
  <si>
    <t>4.1 Accesos</t>
  </si>
  <si>
    <t>Número de entradas principales</t>
  </si>
  <si>
    <t>Número de entradas secundarias</t>
  </si>
  <si>
    <t>Control de acceso general</t>
  </si>
  <si>
    <t>Horario general de apertura</t>
  </si>
  <si>
    <t>Horario general de cierre</t>
  </si>
  <si>
    <t>¿Cuenta con vigilancia?</t>
  </si>
  <si>
    <t>Horario de vigilancia</t>
  </si>
  <si>
    <t>4.2 Seguridad contra Incendios y Emergencias</t>
  </si>
  <si>
    <t>¿Tiene sistema contra incendios?</t>
  </si>
  <si>
    <t>Tipo de sistema contra incendios (rociadores, gabinetes, etc.)</t>
  </si>
  <si>
    <t>Número total de extintores en el edificio</t>
  </si>
  <si>
    <t>¿Tiene alarma contra incendios?</t>
  </si>
  <si>
    <t>Número de salidas de emergencia</t>
  </si>
  <si>
    <t>¿Rutas de evacuación señalizadas?</t>
  </si>
  <si>
    <t>¿Punto de encuentro definido?</t>
  </si>
  <si>
    <t>Ubicación del punto de encuentro</t>
  </si>
  <si>
    <t>5. Estacionamiento y Exteriores</t>
  </si>
  <si>
    <t>5.1 Estacionamiento</t>
  </si>
  <si>
    <t>¿Tiene estacionamiento vehicular?</t>
  </si>
  <si>
    <t>Número de espacios de parqueo</t>
  </si>
  <si>
    <t>¿Tiene estacionamiento de bicicletas?</t>
  </si>
  <si>
    <t>Número de espacios para bicicletas</t>
  </si>
  <si>
    <t>5.2 Zonas Exteriores</t>
  </si>
  <si>
    <t>¿Tiene zonas verdes / exteriores?</t>
  </si>
  <si>
    <t>Descripción de zonas exteriores</t>
  </si>
  <si>
    <t>Accesibilidad exterior (andenes, rampas de ingreso)</t>
  </si>
  <si>
    <t>Inventario de Espacios</t>
  </si>
  <si>
    <t>Una fila por cada salón u otro espacio del edificio (aulas, laboratorios, oficinas, baños, depósitos, etc.). Clasifique cada espacio con Categoría y Subcategoría, y use el mismo 'Código de espacio' en las demás hojas para poder cruzar la información.</t>
  </si>
  <si>
    <t>Identificación</t>
  </si>
  <si>
    <t>Clasificación del Espacio</t>
  </si>
  <si>
    <t>Acceso</t>
  </si>
  <si>
    <t>Estado</t>
  </si>
  <si>
    <t>Registro</t>
  </si>
  <si>
    <t>Código de espacio</t>
  </si>
  <si>
    <t>Área aprox. (m²)</t>
  </si>
  <si>
    <t>Altura de techo (m)</t>
  </si>
  <si>
    <t>Capacidad observada (sillas contadas)</t>
  </si>
  <si>
    <t>N.º de puertas</t>
  </si>
  <si>
    <t>N.º de ventanas</t>
  </si>
  <si>
    <t>Orientación</t>
  </si>
  <si>
    <t>¿Acceso libre?</t>
  </si>
  <si>
    <t>Tipo de control de acceso</t>
  </si>
  <si>
    <t>Responsable de acceso / llave</t>
  </si>
  <si>
    <t>Estado general</t>
  </si>
  <si>
    <t>Fecha de registro</t>
  </si>
  <si>
    <t>Observaciones</t>
  </si>
  <si>
    <t>101</t>
  </si>
  <si>
    <t>Rectangular</t>
  </si>
  <si>
    <t>Norte</t>
  </si>
  <si>
    <t>Sí</t>
  </si>
  <si>
    <t>Libre</t>
  </si>
  <si>
    <t>Bueno</t>
  </si>
  <si>
    <t>Mobiliario y Equipo</t>
  </si>
  <si>
    <t>El detalle de mobiliario, iluminación y equipo de cada espacio registrado en 'Inventario de Espacios'. Use el mismo Piso y Código de espacio para poder cruzar los datos entre hojas.</t>
  </si>
  <si>
    <t>Mobiliario</t>
  </si>
  <si>
    <t>Tecnología y Enseñanza</t>
  </si>
  <si>
    <t>Instalaciones Eléctricas e Iluminación</t>
  </si>
  <si>
    <t>Otros Equipos</t>
  </si>
  <si>
    <t>Sillas en buen estado</t>
  </si>
  <si>
    <t>Escritorio docente</t>
  </si>
  <si>
    <t>N.º de proyectores / video beam</t>
  </si>
  <si>
    <t>N.º de computadores / equipos</t>
  </si>
  <si>
    <t>N.º de tomacorrientes</t>
  </si>
  <si>
    <t>N.º de luminarias</t>
  </si>
  <si>
    <t>Tipo de iluminación</t>
  </si>
  <si>
    <t>Cortinas / persianas</t>
  </si>
  <si>
    <t>Sistema de audio / altavoces</t>
  </si>
  <si>
    <t>Extintor en el espacio</t>
  </si>
  <si>
    <t>Acrílico</t>
  </si>
  <si>
    <t>LED</t>
  </si>
  <si>
    <t>No</t>
  </si>
  <si>
    <t>2 sillas con espaldar roto</t>
  </si>
  <si>
    <t>Horarios de Uso</t>
  </si>
  <si>
    <t>Una fila por cada franja horaria en que un espacio está en uso (clase, evento, reunión, mantenimiento, etc.). Registre una fila por cada día y horario distinto en que observe o programe actividad en el espacio.</t>
  </si>
  <si>
    <t>Fecha y Horario</t>
  </si>
  <si>
    <t>Actividad</t>
  </si>
  <si>
    <t>Día de la semana</t>
  </si>
  <si>
    <t>Materia / Actividad / Evento</t>
  </si>
  <si>
    <t>Docente / Responsable</t>
  </si>
  <si>
    <t>N.º de usuarios / estudiantes</t>
  </si>
  <si>
    <t>Tipo de uso</t>
  </si>
  <si>
    <t>Lunes</t>
  </si>
  <si>
    <t>Cálculo Diferencial</t>
  </si>
  <si>
    <t>Prof. Ana Rodríguez</t>
  </si>
  <si>
    <t>Clase regular</t>
  </si>
  <si>
    <t>Grupo A - primer semestre</t>
  </si>
  <si>
    <t>Accesibilidad y Seguridad</t>
  </si>
  <si>
    <t>Condiciones de accesibilidad universal y de seguridad/emergencia de cada espacio registrado en 'Inventario de Espacios'.</t>
  </si>
  <si>
    <t>Accesibilidad</t>
  </si>
  <si>
    <t>Seguridad y Emergencia</t>
  </si>
  <si>
    <t>Acceso para silla de ruedas</t>
  </si>
  <si>
    <t>Ancho de puerta (cm)</t>
  </si>
  <si>
    <t>Rampa de acceso cercana</t>
  </si>
  <si>
    <t>Ascensor accesible a este piso</t>
  </si>
  <si>
    <t>Baño accesible cercano</t>
  </si>
  <si>
    <t>Señalización braille</t>
  </si>
  <si>
    <t>Piso podotáctil</t>
  </si>
  <si>
    <t>Extintor cercano</t>
  </si>
  <si>
    <t>Detector de humo</t>
  </si>
  <si>
    <t>Alarma contra incendios audible</t>
  </si>
  <si>
    <t>Ruta de evacuación señalizada</t>
  </si>
  <si>
    <t>Salida de emergencia cercana</t>
  </si>
  <si>
    <t>Iluminación de emergencia</t>
  </si>
  <si>
    <t>Puerta cumple ancho mínimo; falta señalización braille</t>
  </si>
  <si>
    <t>Instalaciones por Piso</t>
  </si>
  <si>
    <t>Una fila por cada piso del edificio (1 a 5), con información que no corresponde a un solo salón: baños, tableros eléctricos, bebederos y estado general de acabados. La columna Piso ya viene diligenciada.</t>
  </si>
  <si>
    <t>Servicios Sanitarios</t>
  </si>
  <si>
    <t>Instalaciones Eléctricas</t>
  </si>
  <si>
    <t>Estado de Acabados</t>
  </si>
  <si>
    <t>N.º de lavamanos</t>
  </si>
  <si>
    <t>Tablero eléctrico en el piso</t>
  </si>
  <si>
    <t>Ubicación del tablero eléctrico</t>
  </si>
  <si>
    <t>Depósitos / bodegas en el piso</t>
  </si>
  <si>
    <t>Filtraciones de agua visibles</t>
  </si>
  <si>
    <t>Ubicación de filtraciones</t>
  </si>
  <si>
    <t>Regular</t>
  </si>
  <si>
    <t>Pasillo principal con buena iluminación natural</t>
  </si>
  <si>
    <t>Sí/No</t>
  </si>
  <si>
    <t>Sí/No/Parcial</t>
  </si>
  <si>
    <t>Sí/No/No aplica</t>
  </si>
  <si>
    <t>Tipo de espacio (ref.)</t>
  </si>
  <si>
    <t>Forma</t>
  </si>
  <si>
    <t>Tipo de acceso</t>
  </si>
  <si>
    <t>Sistema estructural</t>
  </si>
  <si>
    <t>1</t>
  </si>
  <si>
    <t>Concreto</t>
  </si>
  <si>
    <t>2</t>
  </si>
  <si>
    <t>Cuadrado</t>
  </si>
  <si>
    <t>Sur</t>
  </si>
  <si>
    <t>Llave</t>
  </si>
  <si>
    <t>Fluorescente</t>
  </si>
  <si>
    <t>Martes</t>
  </si>
  <si>
    <t>Acero</t>
  </si>
  <si>
    <t>Portería</t>
  </si>
  <si>
    <t>Parcial</t>
  </si>
  <si>
    <t>Malo</t>
  </si>
  <si>
    <t>3</t>
  </si>
  <si>
    <t>Irregular</t>
  </si>
  <si>
    <t>Este</t>
  </si>
  <si>
    <t>Tarjeta</t>
  </si>
  <si>
    <t>Incandescente</t>
  </si>
  <si>
    <t>Miércoles</t>
  </si>
  <si>
    <t>Evento especial</t>
  </si>
  <si>
    <t>Mampostería</t>
  </si>
  <si>
    <t>4</t>
  </si>
  <si>
    <t>Oeste</t>
  </si>
  <si>
    <t>Solicitud previa</t>
  </si>
  <si>
    <t>Ninguna</t>
  </si>
  <si>
    <t>Mixta</t>
  </si>
  <si>
    <t>Jueves</t>
  </si>
  <si>
    <t>Reunión</t>
  </si>
  <si>
    <t>Mixto</t>
  </si>
  <si>
    <t>Biométrico</t>
  </si>
  <si>
    <t>5</t>
  </si>
  <si>
    <t>Norte-Sur</t>
  </si>
  <si>
    <t>Viernes</t>
  </si>
  <si>
    <t>Mantenimiento</t>
  </si>
  <si>
    <t>Este-Oeste</t>
  </si>
  <si>
    <t>Sábado</t>
  </si>
  <si>
    <t>Domingo</t>
  </si>
  <si>
    <t>Pasillo/Circulación</t>
  </si>
  <si>
    <t>Operativo y estéticamente aceptable. Presenta marcas superficiales mínimas propias del uso reciente, pero no afectan la apariencia general ni la seguridad.</t>
  </si>
  <si>
    <t>Desgaste evidente por el paso del tiempo o alto tráfico (pintura opaca, rayones visibles, decoloración, tapicería desgastada). Sigue siendo seguro y funcional, pero requerirá mantenimiento</t>
  </si>
  <si>
    <t>Falla severa que impide el uso del elemento o representa un riesgo de seguridad. Ejemplos: mobiliario roto, vidrios fracturados, cables eléctricos expuestos, filtración de agua activa, puerta trabada o colapso de cielo raso. Requiere intervención inmediata.</t>
  </si>
  <si>
    <t xml:space="preserve">  </t>
  </si>
  <si>
    <t>Tipo de tablero</t>
  </si>
  <si>
    <t>Acrílico blanco</t>
  </si>
  <si>
    <t>Acrílico movible</t>
  </si>
  <si>
    <t>Vidrio templado</t>
  </si>
  <si>
    <t xml:space="preserve"> </t>
  </si>
  <si>
    <t>Estado puerta</t>
  </si>
  <si>
    <t>Estado Ventanas</t>
  </si>
  <si>
    <t>Capacidad observada (sillas docente)</t>
  </si>
  <si>
    <t>Observación</t>
  </si>
  <si>
    <t>Puertas</t>
  </si>
  <si>
    <t>Ventanas</t>
  </si>
  <si>
    <t>Muros</t>
  </si>
  <si>
    <t xml:space="preserve">Acabado </t>
  </si>
  <si>
    <t>Orientación Espacio</t>
  </si>
  <si>
    <t>N.º de pupitres</t>
  </si>
  <si>
    <t>N.º de tablero</t>
  </si>
  <si>
    <t>Patologías</t>
  </si>
  <si>
    <t>Tipo</t>
  </si>
  <si>
    <t>Ubicación</t>
  </si>
  <si>
    <t>Pantalla inteligente</t>
  </si>
  <si>
    <t>Red rociadores</t>
  </si>
  <si>
    <t>Equipo de primeros auxilios cercano</t>
  </si>
  <si>
    <t xml:space="preserve">Baños </t>
  </si>
  <si>
    <t>Hombres</t>
  </si>
  <si>
    <t>Mujeres</t>
  </si>
  <si>
    <t xml:space="preserve">Baños accesibles </t>
  </si>
  <si>
    <t>Cantidad</t>
  </si>
  <si>
    <t>Ventilación natural</t>
  </si>
  <si>
    <t>Estado de muros</t>
  </si>
  <si>
    <t>Estado de cielo raso</t>
  </si>
  <si>
    <t>Estado de pisos</t>
  </si>
  <si>
    <t>Observaciones general acabados</t>
  </si>
  <si>
    <t xml:space="preserve">Uso actual </t>
  </si>
  <si>
    <t>Humedad de obra</t>
  </si>
  <si>
    <t>Humedad capilar</t>
  </si>
  <si>
    <t>Humedad por filtración</t>
  </si>
  <si>
    <t>Humedad por condensación</t>
  </si>
  <si>
    <t>Humedad accidental</t>
  </si>
  <si>
    <t>Suciedad por deposito</t>
  </si>
  <si>
    <t>Suciedad por lavado diferencial</t>
  </si>
  <si>
    <t>Erosión atmosférica</t>
  </si>
  <si>
    <t>Grietas por carga</t>
  </si>
  <si>
    <t>Grietas por dilatación y contracción</t>
  </si>
  <si>
    <t>Fisuras por soporte</t>
  </si>
  <si>
    <t>Fisuras por acabado</t>
  </si>
  <si>
    <t>Desprendimiento de acabo continuo</t>
  </si>
  <si>
    <t>Despremiento de acabado por elementos</t>
  </si>
  <si>
    <t>Erosión mecánica</t>
  </si>
  <si>
    <t>Organismos animales</t>
  </si>
  <si>
    <t>Organismos vegetales</t>
  </si>
  <si>
    <t>Eflorescencias</t>
  </si>
  <si>
    <t>A-101</t>
  </si>
  <si>
    <t>Horas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</si>
  <si>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</si>
  <si>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</si>
  <si>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</si>
  <si>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</si>
  <si>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</si>
  <si>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</si>
  <si>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</si>
  <si>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</si>
  <si>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</si>
  <si>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</si>
  <si>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</si>
  <si>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</si>
  <si>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</si>
  <si>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</si>
  <si>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</si>
  <si>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</si>
  <si>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</si>
  <si>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Didáctica Cuerpo y Corporeidad (Licenciatura en educación infantil)</t>
  </si>
  <si>
    <t>Fitomejoramiento (Ingenieria Agronomica)</t>
  </si>
  <si>
    <t>Clase</t>
  </si>
  <si>
    <t>Proyecto Pedagógico Investigativo IV (Licenciatura en educación infantil)</t>
  </si>
  <si>
    <t>Cálculo III (Ingenieria civil)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</si>
</sst>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0.5"/>
      <color rgb="FFFFFFFF"/>
      <name val="Arial"/>
      <family val="2"/>
    </font>
    <font>
      <sz val="10.5"/>
      <name val="Arial"/>
      <family val="2"/>
    </font>
    <font>
      <i/>
      <sz val="10"/>
      <color rgb="FF44444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i/>
      <sz val="10"/>
      <color rgb="FF1F4E78"/>
      <name val="Arial"/>
      <family val="2"/>
    </font>
    <font>
      <i/>
      <sz val="10"/>
      <color rgb="FF7F6000"/>
      <name val="Arial"/>
      <family val="2"/>
    </font>
    <font>
      <sz val="11"/>
      <color theme="0"/>
      <name val="Calibri"/>
      <family val="2"/>
      <charset val="1"/>
    </font>
    <font>
      <u/>
      <sz val="11"/>
      <color theme="1"/>
      <name val="Calibri"/>
      <family val="2"/>
      <charset val="1"/>
    </font>
    <font>
      <u/>
      <sz val="10"/>
      <name val="Arial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indent="1"/>
    </xf>
    <xf numFmtId="1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 applyAlignment="1">
      <alignment vertical="center" wrapText="1" inden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horizontal="left" vertical="center" wrapText="1"/>
    </xf>
    <xf numFmtId="1" fontId="11" fillId="5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12" fillId="0" borderId="0" xfId="0" applyFont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13" fillId="0" borderId="0" xfId="0" applyFont="1"/>
    <xf numFmtId="0" fontId="1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1" fontId="11" fillId="5" borderId="6" xfId="0" applyNumberFormat="1" applyFont="1" applyFill="1" applyBorder="1" applyAlignment="1">
      <alignment horizontal="center" vertical="center" wrapText="1"/>
    </xf>
    <xf numFmtId="1" fontId="11" fillId="5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1" xfId="0" applyBorder="1"/>
    <xf numFmtId="0" fontId="10" fillId="4" borderId="0" xfId="0" applyFont="1" applyFill="1" applyAlignment="1">
      <alignment vertical="center" indent="2"/>
    </xf>
    <xf numFmtId="0" fontId="12" fillId="6" borderId="3" xfId="0" applyFont="1" applyFill="1" applyBorder="1" applyAlignment="1">
      <alignment horizontal="center"/>
    </xf>
    <xf numFmtId="0" fontId="9" fillId="2" borderId="0" xfId="0" applyFont="1" applyFill="1" applyAlignment="1">
      <alignment vertical="center" inden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1" fontId="6" fillId="0" borderId="2" xfId="0" applyNumberFormat="1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GridLines="0" zoomScaleNormal="100" workbookViewId="0">
      <selection activeCell="A16" sqref="A16:C16"/>
    </sheetView>
  </sheetViews>
  <sheetFormatPr baseColWidth="10" defaultColWidth="8.7109375" defaultRowHeight="15" x14ac:dyDescent="0.25"/>
  <cols>
    <col min="1" max="1" width="4" customWidth="1"/>
    <col min="2" max="2" width="105" customWidth="1"/>
  </cols>
  <sheetData>
    <row r="1" spans="1:3" ht="30" customHeight="1" x14ac:dyDescent="0.25">
      <c r="A1" s="27" t="s">
        <v>0</v>
      </c>
      <c r="B1" s="27"/>
      <c r="C1" s="27"/>
    </row>
    <row r="3" spans="1:3" ht="54.75" customHeight="1" x14ac:dyDescent="0.25">
      <c r="A3" s="32" t="s">
        <v>1</v>
      </c>
      <c r="B3" s="32"/>
      <c r="C3" s="32"/>
    </row>
    <row r="5" spans="1:3" ht="15" customHeight="1" x14ac:dyDescent="0.25">
      <c r="A5" s="31" t="s">
        <v>2</v>
      </c>
      <c r="B5" s="31"/>
      <c r="C5" s="31"/>
    </row>
    <row r="6" spans="1:3" ht="31.5" customHeight="1" x14ac:dyDescent="0.25">
      <c r="A6" s="30" t="s">
        <v>3</v>
      </c>
      <c r="B6" s="30"/>
      <c r="C6" s="30"/>
    </row>
    <row r="7" spans="1:3" ht="31.5" customHeight="1" x14ac:dyDescent="0.25">
      <c r="A7" s="30" t="s">
        <v>4</v>
      </c>
      <c r="B7" s="30"/>
      <c r="C7" s="30"/>
    </row>
    <row r="8" spans="1:3" ht="31.5" customHeight="1" x14ac:dyDescent="0.25">
      <c r="A8" s="30" t="s">
        <v>5</v>
      </c>
      <c r="B8" s="30"/>
      <c r="C8" s="30"/>
    </row>
    <row r="9" spans="1:3" ht="31.5" customHeight="1" x14ac:dyDescent="0.25">
      <c r="A9" s="30" t="s">
        <v>6</v>
      </c>
      <c r="B9" s="30"/>
      <c r="C9" s="30"/>
    </row>
    <row r="10" spans="1:3" ht="31.5" customHeight="1" x14ac:dyDescent="0.25">
      <c r="A10" s="30" t="s">
        <v>7</v>
      </c>
      <c r="B10" s="30"/>
      <c r="C10" s="30"/>
    </row>
    <row r="11" spans="1:3" ht="31.5" customHeight="1" x14ac:dyDescent="0.25">
      <c r="A11" s="30" t="s">
        <v>8</v>
      </c>
      <c r="B11" s="30"/>
      <c r="C11" s="30"/>
    </row>
    <row r="12" spans="1:3" ht="31.5" customHeight="1" x14ac:dyDescent="0.25">
      <c r="A12" s="30" t="s">
        <v>9</v>
      </c>
      <c r="B12" s="30"/>
      <c r="C12" s="30"/>
    </row>
    <row r="14" spans="1:3" ht="15" customHeight="1" x14ac:dyDescent="0.25">
      <c r="A14" s="31" t="s">
        <v>10</v>
      </c>
      <c r="B14" s="31"/>
      <c r="C14" s="31"/>
    </row>
    <row r="15" spans="1:3" ht="33.75" customHeight="1" x14ac:dyDescent="0.25">
      <c r="A15" s="30" t="s">
        <v>11</v>
      </c>
      <c r="B15" s="30"/>
      <c r="C15" s="30"/>
    </row>
    <row r="16" spans="1:3" ht="51" customHeight="1" x14ac:dyDescent="0.25">
      <c r="A16" s="30" t="s">
        <v>12</v>
      </c>
      <c r="B16" s="30"/>
      <c r="C16" s="30"/>
    </row>
    <row r="17" spans="1:3" ht="33.75" customHeight="1" x14ac:dyDescent="0.25">
      <c r="A17" s="30" t="s">
        <v>13</v>
      </c>
      <c r="B17" s="30"/>
      <c r="C17" s="30"/>
    </row>
    <row r="19" spans="1:3" ht="15" customHeight="1" x14ac:dyDescent="0.25">
      <c r="A19" s="31" t="s">
        <v>14</v>
      </c>
      <c r="B19" s="31"/>
      <c r="C19" s="31"/>
    </row>
    <row r="20" spans="1:3" ht="30" customHeight="1" x14ac:dyDescent="0.25">
      <c r="A20" s="30" t="s">
        <v>15</v>
      </c>
      <c r="B20" s="30"/>
      <c r="C20" s="30"/>
    </row>
    <row r="21" spans="1:3" ht="30" customHeight="1" x14ac:dyDescent="0.25">
      <c r="A21" s="30" t="s">
        <v>16</v>
      </c>
      <c r="B21" s="30"/>
      <c r="C21" s="30"/>
    </row>
    <row r="22" spans="1:3" ht="30" customHeight="1" x14ac:dyDescent="0.25">
      <c r="A22" s="30" t="s">
        <v>17</v>
      </c>
      <c r="B22" s="30"/>
      <c r="C22" s="30"/>
    </row>
    <row r="23" spans="1:3" ht="30" customHeight="1" x14ac:dyDescent="0.25">
      <c r="A23" s="30" t="s">
        <v>18</v>
      </c>
      <c r="B23" s="30"/>
      <c r="C23" s="30"/>
    </row>
    <row r="24" spans="1:3" ht="30" customHeight="1" x14ac:dyDescent="0.25">
      <c r="A24" s="30" t="s">
        <v>19</v>
      </c>
      <c r="B24" s="30"/>
      <c r="C24" s="30"/>
    </row>
    <row r="25" spans="1:3" ht="30" customHeight="1" x14ac:dyDescent="0.25">
      <c r="A25" s="30" t="s">
        <v>20</v>
      </c>
      <c r="B25" s="30"/>
      <c r="C25" s="30"/>
    </row>
    <row r="27" spans="1:3" ht="15" customHeight="1" x14ac:dyDescent="0.25">
      <c r="A27" s="31" t="s">
        <v>21</v>
      </c>
      <c r="B27" s="31"/>
      <c r="C27" s="31"/>
    </row>
    <row r="28" spans="1:3" ht="18" customHeight="1" x14ac:dyDescent="0.25">
      <c r="A28" s="30" t="s">
        <v>22</v>
      </c>
      <c r="B28" s="30"/>
      <c r="C28" s="30"/>
    </row>
    <row r="29" spans="1:3" ht="18" customHeight="1" x14ac:dyDescent="0.25">
      <c r="A29" s="30" t="s">
        <v>23</v>
      </c>
      <c r="B29" s="30"/>
      <c r="C29" s="30"/>
    </row>
    <row r="30" spans="1:3" ht="18" customHeight="1" x14ac:dyDescent="0.25">
      <c r="A30" s="30" t="s">
        <v>24</v>
      </c>
      <c r="B30" s="30"/>
      <c r="C30" s="30"/>
    </row>
    <row r="31" spans="1:3" ht="18" customHeight="1" x14ac:dyDescent="0.25">
      <c r="A31" s="30" t="s">
        <v>25</v>
      </c>
      <c r="B31" s="30"/>
      <c r="C31" s="30"/>
    </row>
  </sheetData>
  <mergeCells count="26">
    <mergeCell ref="A1:C1"/>
    <mergeCell ref="A3:C3"/>
    <mergeCell ref="A5:C5"/>
    <mergeCell ref="A6:C6"/>
    <mergeCell ref="A7:C7"/>
    <mergeCell ref="A8:C8"/>
    <mergeCell ref="A9:C9"/>
    <mergeCell ref="A10:C10"/>
    <mergeCell ref="A11:C11"/>
    <mergeCell ref="A12:C12"/>
    <mergeCell ref="A14:C14"/>
    <mergeCell ref="A15:C15"/>
    <mergeCell ref="A16:C16"/>
    <mergeCell ref="A17:C17"/>
    <mergeCell ref="A19:C19"/>
    <mergeCell ref="A20:C20"/>
    <mergeCell ref="A21:C21"/>
    <mergeCell ref="A22:C22"/>
    <mergeCell ref="A23:C23"/>
    <mergeCell ref="A24:C24"/>
    <mergeCell ref="A31:C31"/>
    <mergeCell ref="A25:C25"/>
    <mergeCell ref="A27:C27"/>
    <mergeCell ref="A28:C28"/>
    <mergeCell ref="A29:C29"/>
    <mergeCell ref="A30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showGridLines="0" zoomScale="85" zoomScaleNormal="85" workbookViewId="0">
      <pane ySplit="3" topLeftCell="A27" activePane="bottomLeft" state="frozen"/>
      <selection pane="bottomLeft" activeCell="S39" sqref="S39"/>
    </sheetView>
  </sheetViews>
  <sheetFormatPr baseColWidth="10" defaultColWidth="8.7109375" defaultRowHeight="15" x14ac:dyDescent="0.25"/>
  <cols>
    <col min="1" max="1" width="42" customWidth="1"/>
    <col min="2" max="3" width="16" customWidth="1"/>
    <col min="4" max="4" width="45" customWidth="1"/>
  </cols>
  <sheetData>
    <row r="1" spans="1:4" ht="25.5" customHeight="1" x14ac:dyDescent="0.25">
      <c r="A1" s="27" t="s">
        <v>291</v>
      </c>
      <c r="B1" s="27"/>
      <c r="C1" s="27"/>
      <c r="D1" s="27"/>
    </row>
    <row r="2" spans="1:4" ht="39.75" customHeight="1" x14ac:dyDescent="0.25">
      <c r="A2" s="28" t="s">
        <v>26</v>
      </c>
      <c r="B2" s="28"/>
      <c r="C2" s="28"/>
      <c r="D2" s="28"/>
    </row>
    <row r="4" spans="1:4" ht="15" customHeight="1" x14ac:dyDescent="0.25">
      <c r="A4" s="31" t="s">
        <v>27</v>
      </c>
      <c r="B4" s="31"/>
      <c r="C4" s="31"/>
      <c r="D4" s="31"/>
    </row>
    <row r="5" spans="1:4" x14ac:dyDescent="0.25">
      <c r="A5" s="2" t="s">
        <v>28</v>
      </c>
      <c r="B5" s="3">
        <f>COUNTA('Inventario Espacios'!$B$5:$B$74)</f>
        <v>0</v>
      </c>
      <c r="C5" s="33"/>
      <c r="D5" s="33"/>
    </row>
    <row r="6" spans="1:4" x14ac:dyDescent="0.25">
      <c r="A6" s="2" t="s">
        <v>29</v>
      </c>
      <c r="B6" s="3">
        <f>SUM('Mobiliario y Equipo'!$C$5:$C$75)</f>
        <v>40</v>
      </c>
      <c r="C6" s="33"/>
      <c r="D6" s="33"/>
    </row>
    <row r="7" spans="1:4" x14ac:dyDescent="0.25">
      <c r="A7" s="2" t="s">
        <v>30</v>
      </c>
      <c r="B7" s="3">
        <f>SUM('Mobiliario y Equipo'!$M$5:$M$75)</f>
        <v>8</v>
      </c>
      <c r="C7" s="33"/>
      <c r="D7" s="33"/>
    </row>
    <row r="8" spans="1:4" x14ac:dyDescent="0.25">
      <c r="A8" s="2" t="s">
        <v>31</v>
      </c>
      <c r="B8" s="3">
        <f>SUM('Mobiliario y Equipo'!$N$5:$N$75)</f>
        <v>7</v>
      </c>
      <c r="C8" s="33"/>
      <c r="D8" s="33"/>
    </row>
    <row r="9" spans="1:4" x14ac:dyDescent="0.25">
      <c r="A9" s="2" t="s">
        <v>32</v>
      </c>
      <c r="B9" s="4">
        <f>IFERROR(B8/B7,"")</f>
        <v>0.875</v>
      </c>
      <c r="C9" s="33"/>
      <c r="D9" s="33"/>
    </row>
    <row r="10" spans="1:4" x14ac:dyDescent="0.25">
      <c r="A10" s="2" t="s">
        <v>33</v>
      </c>
      <c r="B10" s="3">
        <f>COUNTA('Horarios de Uso'!$B$5:$B$155)</f>
        <v>1</v>
      </c>
      <c r="C10" s="33"/>
      <c r="D10" s="33"/>
    </row>
    <row r="11" spans="1:4" x14ac:dyDescent="0.25">
      <c r="A11" s="2" t="s">
        <v>34</v>
      </c>
      <c r="B11" s="3">
        <f>COUNTIFS('Inventario Espacios'!$T$5:$T$74,"Sí")</f>
        <v>0</v>
      </c>
      <c r="C11" s="33"/>
      <c r="D11" s="33"/>
    </row>
    <row r="12" spans="1:4" x14ac:dyDescent="0.25">
      <c r="A12" s="2" t="s">
        <v>35</v>
      </c>
      <c r="B12" s="4" t="str">
        <f>IFERROR(B11/B5,"")</f>
        <v/>
      </c>
      <c r="C12" s="33"/>
      <c r="D12" s="33"/>
    </row>
    <row r="13" spans="1:4" x14ac:dyDescent="0.25">
      <c r="A13" s="2" t="s">
        <v>36</v>
      </c>
      <c r="B13" s="3" t="e">
        <f>COUNTIFS('Inventario Espacios'!#REF!,"Bueno")</f>
        <v>#REF!</v>
      </c>
      <c r="C13" s="33"/>
      <c r="D13" s="33"/>
    </row>
    <row r="14" spans="1:4" x14ac:dyDescent="0.25">
      <c r="A14" s="2" t="s">
        <v>37</v>
      </c>
      <c r="B14" s="3" t="e">
        <f>COUNTIFS('Inventario Espacios'!#REF!,"Regular")</f>
        <v>#REF!</v>
      </c>
      <c r="C14" s="33"/>
      <c r="D14" s="33"/>
    </row>
    <row r="15" spans="1:4" x14ac:dyDescent="0.25">
      <c r="A15" s="2" t="s">
        <v>38</v>
      </c>
      <c r="B15" s="3" t="e">
        <f>COUNTIFS('Inventario Espacios'!#REF!,"Malo")</f>
        <v>#REF!</v>
      </c>
      <c r="C15" s="33"/>
      <c r="D15" s="33"/>
    </row>
    <row r="16" spans="1:4" x14ac:dyDescent="0.25">
      <c r="A16" s="2" t="s">
        <v>39</v>
      </c>
      <c r="B16" s="3" t="e">
        <f>SUM('Instalaciones por Piso'!#REF!)</f>
        <v>#REF!</v>
      </c>
      <c r="C16" s="33"/>
      <c r="D16" s="33"/>
    </row>
    <row r="17" spans="1:4" x14ac:dyDescent="0.25">
      <c r="A17" s="2" t="s">
        <v>40</v>
      </c>
      <c r="B17" s="3" t="e">
        <f>SUM('Instalaciones por Piso'!#REF!)</f>
        <v>#REF!</v>
      </c>
      <c r="C17" s="33"/>
      <c r="D17" s="33"/>
    </row>
    <row r="19" spans="1:4" ht="15" customHeight="1" x14ac:dyDescent="0.25">
      <c r="A19" s="31" t="s">
        <v>41</v>
      </c>
      <c r="B19" s="31"/>
      <c r="C19" s="31"/>
      <c r="D19" s="31"/>
    </row>
    <row r="20" spans="1:4" x14ac:dyDescent="0.25">
      <c r="A20" s="5" t="s">
        <v>42</v>
      </c>
      <c r="B20" s="5" t="s">
        <v>43</v>
      </c>
      <c r="C20" s="5" t="s">
        <v>44</v>
      </c>
      <c r="D20" s="5"/>
    </row>
    <row r="21" spans="1:4" x14ac:dyDescent="0.25">
      <c r="A21" s="6">
        <v>1</v>
      </c>
      <c r="B21" s="6">
        <f>COUNTIFS('Inventario Espacios'!$A$5:$A$74,$A21)</f>
        <v>0</v>
      </c>
      <c r="C21" s="6">
        <f>SUMIFS('Mobiliario y Equipo'!$C$5:$C$75,'Mobiliario y Equipo'!$A$5:$A$75,$A21)</f>
        <v>40</v>
      </c>
      <c r="D21" s="7"/>
    </row>
    <row r="22" spans="1:4" x14ac:dyDescent="0.25">
      <c r="A22" s="6">
        <v>2</v>
      </c>
      <c r="B22" s="6">
        <f>COUNTIFS('Inventario Espacios'!$A$5:$A$74,$A22)</f>
        <v>0</v>
      </c>
      <c r="C22" s="6">
        <f>SUMIFS('Mobiliario y Equipo'!$C$5:$C$75,'Mobiliario y Equipo'!$A$5:$A$75,$A22)</f>
        <v>0</v>
      </c>
      <c r="D22" s="7"/>
    </row>
    <row r="23" spans="1:4" x14ac:dyDescent="0.25">
      <c r="A23" s="6">
        <v>3</v>
      </c>
      <c r="B23" s="6">
        <f>COUNTIFS('Inventario Espacios'!$A$5:$A$74,$A23)</f>
        <v>0</v>
      </c>
      <c r="C23" s="6">
        <f>SUMIFS('Mobiliario y Equipo'!$C$5:$C$75,'Mobiliario y Equipo'!$A$5:$A$75,$A23)</f>
        <v>0</v>
      </c>
      <c r="D23" s="7"/>
    </row>
    <row r="24" spans="1:4" x14ac:dyDescent="0.25">
      <c r="A24" s="6">
        <v>4</v>
      </c>
      <c r="B24" s="6">
        <f>COUNTIFS('Inventario Espacios'!$A$5:$A$74,$A24)</f>
        <v>0</v>
      </c>
      <c r="C24" s="6">
        <f>SUMIFS('Mobiliario y Equipo'!$C$5:$C$75,'Mobiliario y Equipo'!$A$5:$A$75,$A24)</f>
        <v>0</v>
      </c>
      <c r="D24" s="7"/>
    </row>
    <row r="25" spans="1:4" x14ac:dyDescent="0.25">
      <c r="A25" s="6">
        <v>5</v>
      </c>
      <c r="B25" s="6">
        <f>COUNTIFS('Inventario Espacios'!$A$5:$A$74,$A25)</f>
        <v>0</v>
      </c>
      <c r="C25" s="6">
        <f>SUMIFS('Mobiliario y Equipo'!$C$5:$C$75,'Mobiliario y Equipo'!$A$5:$A$75,$A25)</f>
        <v>0</v>
      </c>
      <c r="D25" s="7"/>
    </row>
    <row r="27" spans="1:4" ht="15" customHeight="1" x14ac:dyDescent="0.25">
      <c r="A27" s="31" t="s">
        <v>45</v>
      </c>
      <c r="B27" s="31"/>
      <c r="C27" s="31"/>
      <c r="D27" s="31"/>
    </row>
    <row r="28" spans="1:4" x14ac:dyDescent="0.25">
      <c r="A28" s="5" t="s">
        <v>46</v>
      </c>
      <c r="B28" s="5" t="s">
        <v>43</v>
      </c>
      <c r="C28" s="5"/>
      <c r="D28" s="5"/>
    </row>
    <row r="29" spans="1:4" x14ac:dyDescent="0.25">
      <c r="A29" s="2" t="s">
        <v>47</v>
      </c>
      <c r="B29" s="6">
        <f>COUNTIFS('Inventario Espacios'!$C$5:$C$74,$A29)</f>
        <v>0</v>
      </c>
      <c r="C29" s="33"/>
      <c r="D29" s="33"/>
    </row>
    <row r="30" spans="1:4" x14ac:dyDescent="0.25">
      <c r="A30" s="2" t="s">
        <v>48</v>
      </c>
      <c r="B30" s="6">
        <f>COUNTIFS('Inventario Espacios'!$C$5:$C$74,$A30)</f>
        <v>0</v>
      </c>
      <c r="C30" s="33"/>
      <c r="D30" s="33"/>
    </row>
    <row r="31" spans="1:4" x14ac:dyDescent="0.25">
      <c r="A31" s="2" t="s">
        <v>49</v>
      </c>
      <c r="B31" s="6">
        <f>COUNTIFS('Inventario Espacios'!$C$5:$C$74,$A31)</f>
        <v>0</v>
      </c>
      <c r="C31" s="33"/>
      <c r="D31" s="33"/>
    </row>
    <row r="32" spans="1:4" x14ac:dyDescent="0.25">
      <c r="A32" s="2" t="s">
        <v>50</v>
      </c>
      <c r="B32" s="6">
        <f>COUNTIFS('Inventario Espacios'!$C$5:$C$74,$A32)</f>
        <v>0</v>
      </c>
      <c r="C32" s="33"/>
      <c r="D32" s="33"/>
    </row>
    <row r="33" spans="1:4" x14ac:dyDescent="0.25">
      <c r="A33" s="2" t="s">
        <v>51</v>
      </c>
      <c r="B33" s="6">
        <f>COUNTIFS('Inventario Espacios'!$C$5:$C$74,$A33)</f>
        <v>0</v>
      </c>
      <c r="C33" s="33"/>
      <c r="D33" s="33"/>
    </row>
    <row r="34" spans="1:4" x14ac:dyDescent="0.25">
      <c r="A34" s="2" t="s">
        <v>52</v>
      </c>
      <c r="B34" s="6">
        <f>COUNTIFS('Inventario Espacios'!$C$5:$C$74,$A34)</f>
        <v>0</v>
      </c>
      <c r="C34" s="33"/>
      <c r="D34" s="33"/>
    </row>
    <row r="36" spans="1:4" ht="15" customHeight="1" x14ac:dyDescent="0.25">
      <c r="A36" s="31" t="s">
        <v>53</v>
      </c>
      <c r="B36" s="31"/>
      <c r="C36" s="31"/>
      <c r="D36" s="31"/>
    </row>
    <row r="37" spans="1:4" x14ac:dyDescent="0.25">
      <c r="A37" s="5" t="s">
        <v>54</v>
      </c>
      <c r="B37" s="5" t="s">
        <v>43</v>
      </c>
      <c r="C37" s="5"/>
      <c r="D37" s="5"/>
    </row>
    <row r="38" spans="1:4" x14ac:dyDescent="0.25">
      <c r="A38" s="2" t="s">
        <v>55</v>
      </c>
      <c r="B38" s="6">
        <f>COUNTIFS('Inventario Espacios'!$D$5:$D$74,$A38)</f>
        <v>0</v>
      </c>
      <c r="C38" s="33"/>
      <c r="D38" s="33"/>
    </row>
    <row r="39" spans="1:4" x14ac:dyDescent="0.25">
      <c r="A39" s="2" t="s">
        <v>56</v>
      </c>
      <c r="B39" s="6">
        <f>COUNTIFS('Inventario Espacios'!$D$5:$D$74,$A39)</f>
        <v>0</v>
      </c>
      <c r="C39" s="33"/>
      <c r="D39" s="33"/>
    </row>
    <row r="40" spans="1:4" x14ac:dyDescent="0.25">
      <c r="A40" s="2" t="s">
        <v>57</v>
      </c>
      <c r="B40" s="6">
        <f>COUNTIFS('Inventario Espacios'!$D$5:$D$74,$A40)</f>
        <v>0</v>
      </c>
      <c r="C40" s="33"/>
      <c r="D40" s="33"/>
    </row>
    <row r="41" spans="1:4" x14ac:dyDescent="0.25">
      <c r="A41" s="2" t="s">
        <v>58</v>
      </c>
      <c r="B41" s="6">
        <f>COUNTIFS('Inventario Espacios'!$D$5:$D$74,$A41)</f>
        <v>0</v>
      </c>
      <c r="C41" s="33"/>
      <c r="D41" s="33"/>
    </row>
    <row r="42" spans="1:4" x14ac:dyDescent="0.25">
      <c r="A42" s="2" t="s">
        <v>59</v>
      </c>
      <c r="B42" s="6">
        <f>COUNTIFS('Inventario Espacios'!$D$5:$D$74,$A42)</f>
        <v>0</v>
      </c>
      <c r="C42" s="33"/>
      <c r="D42" s="33"/>
    </row>
    <row r="43" spans="1:4" x14ac:dyDescent="0.25">
      <c r="A43" s="2" t="s">
        <v>60</v>
      </c>
      <c r="B43" s="6">
        <f>COUNTIFS('Inventario Espacios'!$D$5:$D$74,$A43)</f>
        <v>0</v>
      </c>
      <c r="C43" s="33"/>
      <c r="D43" s="33"/>
    </row>
    <row r="44" spans="1:4" x14ac:dyDescent="0.25">
      <c r="A44" s="2" t="s">
        <v>61</v>
      </c>
      <c r="B44" s="6">
        <f>COUNTIFS('Inventario Espacios'!$D$5:$D$74,$A44)</f>
        <v>0</v>
      </c>
      <c r="C44" s="33"/>
      <c r="D44" s="33"/>
    </row>
    <row r="45" spans="1:4" x14ac:dyDescent="0.25">
      <c r="A45" s="2" t="s">
        <v>62</v>
      </c>
      <c r="B45" s="6">
        <f>COUNTIFS('Inventario Espacios'!$D$5:$D$74,$A45)</f>
        <v>0</v>
      </c>
      <c r="C45" s="33"/>
      <c r="D45" s="33"/>
    </row>
    <row r="46" spans="1:4" x14ac:dyDescent="0.25">
      <c r="A46" s="2" t="s">
        <v>63</v>
      </c>
      <c r="B46" s="6">
        <f>COUNTIFS('Inventario Espacios'!$D$5:$D$74,$A46)</f>
        <v>0</v>
      </c>
      <c r="C46" s="33"/>
      <c r="D46" s="33"/>
    </row>
    <row r="47" spans="1:4" x14ac:dyDescent="0.25">
      <c r="A47" s="2" t="s">
        <v>64</v>
      </c>
      <c r="B47" s="6">
        <f>COUNTIFS('Inventario Espacios'!$D$5:$D$74,$A47)</f>
        <v>0</v>
      </c>
      <c r="C47" s="33"/>
      <c r="D47" s="33"/>
    </row>
    <row r="48" spans="1:4" x14ac:dyDescent="0.25">
      <c r="A48" s="2" t="s">
        <v>65</v>
      </c>
      <c r="B48" s="6">
        <f>COUNTIFS('Inventario Espacios'!$D$5:$D$74,$A48)</f>
        <v>0</v>
      </c>
      <c r="C48" s="33"/>
      <c r="D48" s="33"/>
    </row>
    <row r="49" spans="1:4" x14ac:dyDescent="0.25">
      <c r="A49" s="2" t="s">
        <v>66</v>
      </c>
      <c r="B49" s="6">
        <f>COUNTIFS('Inventario Espacios'!$D$5:$D$74,$A49)</f>
        <v>0</v>
      </c>
      <c r="C49" s="33"/>
      <c r="D49" s="33"/>
    </row>
    <row r="50" spans="1:4" x14ac:dyDescent="0.25">
      <c r="A50" s="2" t="s">
        <v>67</v>
      </c>
      <c r="B50" s="6">
        <f>COUNTIFS('Inventario Espacios'!$D$5:$D$74,$A50)</f>
        <v>0</v>
      </c>
      <c r="C50" s="33"/>
      <c r="D50" s="33"/>
    </row>
    <row r="51" spans="1:4" x14ac:dyDescent="0.25">
      <c r="A51" s="2" t="s">
        <v>68</v>
      </c>
      <c r="B51" s="6">
        <f>COUNTIFS('Inventario Espacios'!$D$5:$D$74,$A51)</f>
        <v>0</v>
      </c>
      <c r="C51" s="33"/>
      <c r="D51" s="33"/>
    </row>
    <row r="52" spans="1:4" x14ac:dyDescent="0.25">
      <c r="A52" s="2" t="s">
        <v>69</v>
      </c>
      <c r="B52" s="6">
        <f>COUNTIFS('Inventario Espacios'!$D$5:$D$74,$A52)</f>
        <v>0</v>
      </c>
      <c r="C52" s="33"/>
      <c r="D52" s="33"/>
    </row>
    <row r="53" spans="1:4" x14ac:dyDescent="0.25">
      <c r="A53" s="2" t="s">
        <v>70</v>
      </c>
      <c r="B53" s="6">
        <f>COUNTIFS('Inventario Espacios'!$D$5:$D$74,$A53)</f>
        <v>0</v>
      </c>
      <c r="C53" s="33"/>
      <c r="D53" s="33"/>
    </row>
    <row r="54" spans="1:4" x14ac:dyDescent="0.25">
      <c r="A54" s="2" t="s">
        <v>52</v>
      </c>
      <c r="B54" s="6">
        <f>COUNTIFS('Inventario Espacios'!$D$5:$D$74,$A54)</f>
        <v>0</v>
      </c>
      <c r="C54" s="33"/>
      <c r="D54" s="33"/>
    </row>
  </sheetData>
  <mergeCells count="42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9:D19"/>
    <mergeCell ref="A27:D27"/>
    <mergeCell ref="C29:D29"/>
    <mergeCell ref="C30:D30"/>
    <mergeCell ref="C31:D31"/>
    <mergeCell ref="C32:D32"/>
    <mergeCell ref="C33:D33"/>
    <mergeCell ref="C34:D34"/>
    <mergeCell ref="A36:D3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  <mergeCell ref="C54:D54"/>
    <mergeCell ref="C48:D48"/>
    <mergeCell ref="C49:D49"/>
    <mergeCell ref="C50:D50"/>
    <mergeCell ref="C51:D51"/>
    <mergeCell ref="C52:D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showGridLines="0" zoomScaleNormal="100" workbookViewId="0">
      <pane ySplit="4" topLeftCell="A7" activePane="bottomLeft" state="frozen"/>
      <selection pane="bottomLeft" activeCell="B53" sqref="B53"/>
    </sheetView>
  </sheetViews>
  <sheetFormatPr baseColWidth="10" defaultColWidth="8.7109375" defaultRowHeight="15" x14ac:dyDescent="0.25"/>
  <cols>
    <col min="1" max="1" width="42" customWidth="1"/>
    <col min="2" max="2" width="28" customWidth="1"/>
    <col min="3" max="3" width="45" customWidth="1"/>
    <col min="8" max="8" width="52.85546875" customWidth="1"/>
    <col min="9" max="9" width="48" customWidth="1"/>
    <col min="10" max="10" width="52.42578125" customWidth="1"/>
  </cols>
  <sheetData>
    <row r="1" spans="1:3" ht="25.5" customHeight="1" x14ac:dyDescent="0.25">
      <c r="A1" s="27" t="s">
        <v>71</v>
      </c>
      <c r="B1" s="27"/>
      <c r="C1" s="27"/>
    </row>
    <row r="2" spans="1:3" ht="30" customHeight="1" x14ac:dyDescent="0.25">
      <c r="A2" s="28" t="s">
        <v>72</v>
      </c>
      <c r="B2" s="28"/>
      <c r="C2" s="28"/>
    </row>
    <row r="4" spans="1:3" x14ac:dyDescent="0.25">
      <c r="A4" s="5" t="s">
        <v>73</v>
      </c>
      <c r="B4" s="5" t="s">
        <v>74</v>
      </c>
      <c r="C4" s="5" t="s">
        <v>75</v>
      </c>
    </row>
    <row r="5" spans="1:3" ht="19.5" customHeight="1" x14ac:dyDescent="0.25">
      <c r="A5" s="36" t="s">
        <v>76</v>
      </c>
      <c r="B5" s="36"/>
      <c r="C5" s="36"/>
    </row>
    <row r="6" spans="1:3" x14ac:dyDescent="0.25">
      <c r="A6" s="34" t="s">
        <v>77</v>
      </c>
      <c r="B6" s="34"/>
      <c r="C6" s="34"/>
    </row>
    <row r="7" spans="1:3" x14ac:dyDescent="0.25">
      <c r="A7" s="8" t="s">
        <v>78</v>
      </c>
      <c r="B7" s="9"/>
      <c r="C7" s="10"/>
    </row>
    <row r="8" spans="1:3" x14ac:dyDescent="0.25">
      <c r="A8" s="8" t="s">
        <v>79</v>
      </c>
      <c r="B8" s="9"/>
      <c r="C8" s="10"/>
    </row>
    <row r="9" spans="1:3" x14ac:dyDescent="0.25">
      <c r="A9" s="8" t="s">
        <v>80</v>
      </c>
      <c r="B9" s="9"/>
      <c r="C9" s="10"/>
    </row>
    <row r="10" spans="1:3" x14ac:dyDescent="0.25">
      <c r="A10" s="8" t="s">
        <v>81</v>
      </c>
      <c r="B10" s="9"/>
      <c r="C10" s="10"/>
    </row>
    <row r="11" spans="1:3" x14ac:dyDescent="0.25">
      <c r="A11" s="8" t="s">
        <v>82</v>
      </c>
      <c r="B11" s="9"/>
      <c r="C11" s="10"/>
    </row>
    <row r="12" spans="1:3" x14ac:dyDescent="0.25">
      <c r="A12" s="8" t="s">
        <v>83</v>
      </c>
      <c r="B12" s="9"/>
      <c r="C12" s="10"/>
    </row>
    <row r="13" spans="1:3" x14ac:dyDescent="0.25">
      <c r="A13" s="8" t="s">
        <v>84</v>
      </c>
      <c r="B13" s="9"/>
      <c r="C13" s="10"/>
    </row>
    <row r="14" spans="1:3" x14ac:dyDescent="0.25">
      <c r="A14" s="34" t="s">
        <v>85</v>
      </c>
      <c r="B14" s="34"/>
      <c r="C14" s="34"/>
    </row>
    <row r="15" spans="1:3" x14ac:dyDescent="0.25">
      <c r="A15" s="8" t="s">
        <v>86</v>
      </c>
      <c r="B15" s="9"/>
      <c r="C15" s="10"/>
    </row>
    <row r="16" spans="1:3" x14ac:dyDescent="0.25">
      <c r="A16" s="8" t="s">
        <v>87</v>
      </c>
      <c r="B16" s="9"/>
      <c r="C16" s="10"/>
    </row>
    <row r="17" spans="1:11" x14ac:dyDescent="0.25">
      <c r="A17" s="8" t="s">
        <v>88</v>
      </c>
      <c r="B17" s="9"/>
      <c r="C17" s="10"/>
    </row>
    <row r="18" spans="1:11" x14ac:dyDescent="0.25">
      <c r="A18" s="8" t="s">
        <v>89</v>
      </c>
      <c r="B18" s="9"/>
      <c r="C18" s="10"/>
    </row>
    <row r="19" spans="1:11" x14ac:dyDescent="0.25">
      <c r="A19" s="8" t="s">
        <v>90</v>
      </c>
      <c r="B19" s="9"/>
      <c r="C19" s="10"/>
    </row>
    <row r="20" spans="1:11" ht="19.5" customHeight="1" x14ac:dyDescent="0.25">
      <c r="A20" s="36" t="s">
        <v>91</v>
      </c>
      <c r="B20" s="36"/>
      <c r="C20" s="36"/>
    </row>
    <row r="21" spans="1:11" x14ac:dyDescent="0.25">
      <c r="A21" s="34" t="s">
        <v>92</v>
      </c>
      <c r="B21" s="34"/>
      <c r="C21" s="34"/>
    </row>
    <row r="22" spans="1:11" x14ac:dyDescent="0.25">
      <c r="A22" s="8" t="s">
        <v>93</v>
      </c>
      <c r="B22" s="9"/>
      <c r="C22" s="10"/>
    </row>
    <row r="23" spans="1:11" x14ac:dyDescent="0.25">
      <c r="A23" s="8" t="s">
        <v>94</v>
      </c>
      <c r="B23" s="9"/>
      <c r="C23" s="10"/>
    </row>
    <row r="24" spans="1:11" x14ac:dyDescent="0.25">
      <c r="A24" s="8" t="s">
        <v>95</v>
      </c>
      <c r="B24" s="9"/>
      <c r="C24" s="10"/>
    </row>
    <row r="25" spans="1:11" x14ac:dyDescent="0.25">
      <c r="A25" s="8" t="s">
        <v>96</v>
      </c>
      <c r="B25" s="9"/>
      <c r="C25" s="10"/>
    </row>
    <row r="26" spans="1:11" x14ac:dyDescent="0.25">
      <c r="A26" s="8" t="s">
        <v>97</v>
      </c>
      <c r="B26" s="9"/>
      <c r="C26" s="10"/>
    </row>
    <row r="27" spans="1:11" x14ac:dyDescent="0.25">
      <c r="A27" s="8" t="s">
        <v>98</v>
      </c>
      <c r="B27" s="9"/>
      <c r="C27" s="10"/>
    </row>
    <row r="28" spans="1:11" x14ac:dyDescent="0.25">
      <c r="A28" s="8" t="s">
        <v>99</v>
      </c>
      <c r="B28" s="9"/>
      <c r="C28" s="10"/>
      <c r="H28" s="35" t="s">
        <v>158</v>
      </c>
      <c r="I28" s="35"/>
      <c r="J28" s="35"/>
      <c r="K28" s="17"/>
    </row>
    <row r="29" spans="1:11" x14ac:dyDescent="0.25">
      <c r="A29" s="8" t="s">
        <v>100</v>
      </c>
      <c r="B29" s="9"/>
      <c r="C29" s="10"/>
      <c r="H29" s="18" t="s">
        <v>178</v>
      </c>
      <c r="I29" s="18" t="s">
        <v>242</v>
      </c>
      <c r="J29" s="18" t="s">
        <v>262</v>
      </c>
    </row>
    <row r="30" spans="1:11" ht="75" x14ac:dyDescent="0.25">
      <c r="A30" s="34" t="s">
        <v>101</v>
      </c>
      <c r="B30" s="34"/>
      <c r="C30" s="34"/>
      <c r="H30" s="19" t="s">
        <v>288</v>
      </c>
      <c r="I30" s="19" t="s">
        <v>289</v>
      </c>
      <c r="J30" s="19" t="s">
        <v>290</v>
      </c>
    </row>
    <row r="31" spans="1:11" x14ac:dyDescent="0.25">
      <c r="A31" s="8" t="s">
        <v>102</v>
      </c>
      <c r="B31" s="9"/>
      <c r="C31" s="10"/>
    </row>
    <row r="32" spans="1:11" x14ac:dyDescent="0.25">
      <c r="A32" s="8" t="s">
        <v>103</v>
      </c>
      <c r="B32" s="9"/>
      <c r="C32" s="10"/>
    </row>
    <row r="33" spans="1:3" x14ac:dyDescent="0.25">
      <c r="A33" s="8" t="s">
        <v>104</v>
      </c>
      <c r="B33" s="9"/>
      <c r="C33" s="10"/>
    </row>
    <row r="34" spans="1:3" x14ac:dyDescent="0.25">
      <c r="A34" s="8" t="s">
        <v>105</v>
      </c>
      <c r="B34" s="9"/>
      <c r="C34" s="10"/>
    </row>
    <row r="35" spans="1:3" x14ac:dyDescent="0.25">
      <c r="A35" s="8" t="s">
        <v>106</v>
      </c>
      <c r="B35" s="9"/>
      <c r="C35" s="10"/>
    </row>
    <row r="36" spans="1:3" x14ac:dyDescent="0.25">
      <c r="A36" s="8" t="s">
        <v>107</v>
      </c>
      <c r="B36" s="9"/>
      <c r="C36" s="10"/>
    </row>
    <row r="37" spans="1:3" x14ac:dyDescent="0.25">
      <c r="A37" s="8" t="s">
        <v>108</v>
      </c>
      <c r="B37" s="9"/>
      <c r="C37" s="10"/>
    </row>
    <row r="38" spans="1:3" x14ac:dyDescent="0.25">
      <c r="A38" s="8" t="s">
        <v>109</v>
      </c>
      <c r="B38" s="9"/>
      <c r="C38" s="10"/>
    </row>
    <row r="39" spans="1:3" x14ac:dyDescent="0.25">
      <c r="A39" s="8" t="s">
        <v>110</v>
      </c>
      <c r="B39" s="9"/>
      <c r="C39" s="10"/>
    </row>
    <row r="40" spans="1:3" ht="19.5" customHeight="1" x14ac:dyDescent="0.25">
      <c r="A40" s="36" t="s">
        <v>111</v>
      </c>
      <c r="B40" s="36"/>
      <c r="C40" s="36"/>
    </row>
    <row r="41" spans="1:3" x14ac:dyDescent="0.25">
      <c r="A41" s="34" t="s">
        <v>112</v>
      </c>
      <c r="B41" s="34"/>
      <c r="C41" s="34"/>
    </row>
    <row r="42" spans="1:3" x14ac:dyDescent="0.25">
      <c r="A42" s="8" t="s">
        <v>113</v>
      </c>
      <c r="B42" s="9"/>
      <c r="C42" s="10"/>
    </row>
    <row r="43" spans="1:3" x14ac:dyDescent="0.25">
      <c r="A43" s="8" t="s">
        <v>114</v>
      </c>
      <c r="B43" s="9"/>
      <c r="C43" s="10"/>
    </row>
    <row r="44" spans="1:3" x14ac:dyDescent="0.25">
      <c r="A44" s="8" t="s">
        <v>115</v>
      </c>
      <c r="B44" s="9"/>
      <c r="C44" s="10"/>
    </row>
    <row r="45" spans="1:3" x14ac:dyDescent="0.25">
      <c r="A45" s="8" t="s">
        <v>116</v>
      </c>
      <c r="B45" s="9"/>
      <c r="C45" s="10"/>
    </row>
    <row r="46" spans="1:3" x14ac:dyDescent="0.25">
      <c r="A46" s="8" t="s">
        <v>117</v>
      </c>
      <c r="B46" s="9"/>
      <c r="C46" s="10"/>
    </row>
    <row r="47" spans="1:3" x14ac:dyDescent="0.25">
      <c r="A47" s="8" t="s">
        <v>118</v>
      </c>
      <c r="B47" s="9"/>
      <c r="C47" s="10"/>
    </row>
    <row r="48" spans="1:3" x14ac:dyDescent="0.25">
      <c r="A48" s="34" t="s">
        <v>119</v>
      </c>
      <c r="B48" s="34"/>
      <c r="C48" s="34"/>
    </row>
    <row r="49" spans="1:3" x14ac:dyDescent="0.25">
      <c r="A49" s="8" t="s">
        <v>120</v>
      </c>
      <c r="B49" s="9"/>
      <c r="C49" s="10"/>
    </row>
    <row r="50" spans="1:3" x14ac:dyDescent="0.25">
      <c r="A50" s="8" t="s">
        <v>121</v>
      </c>
      <c r="B50" s="9"/>
      <c r="C50" s="10"/>
    </row>
    <row r="51" spans="1:3" x14ac:dyDescent="0.25">
      <c r="A51" s="8" t="s">
        <v>122</v>
      </c>
      <c r="B51" s="9"/>
      <c r="C51" s="10"/>
    </row>
    <row r="52" spans="1:3" x14ac:dyDescent="0.25">
      <c r="A52" s="8" t="s">
        <v>123</v>
      </c>
      <c r="B52" s="9"/>
      <c r="C52" s="10"/>
    </row>
    <row r="53" spans="1:3" x14ac:dyDescent="0.25">
      <c r="A53" s="8" t="s">
        <v>124</v>
      </c>
      <c r="B53" s="21"/>
      <c r="C53" s="10"/>
    </row>
    <row r="54" spans="1:3" ht="19.5" customHeight="1" x14ac:dyDescent="0.25">
      <c r="A54" s="36" t="s">
        <v>125</v>
      </c>
      <c r="B54" s="36"/>
      <c r="C54" s="36"/>
    </row>
    <row r="55" spans="1:3" x14ac:dyDescent="0.25">
      <c r="A55" s="34" t="s">
        <v>126</v>
      </c>
      <c r="B55" s="34"/>
      <c r="C55" s="34"/>
    </row>
    <row r="56" spans="1:3" x14ac:dyDescent="0.25">
      <c r="A56" s="8" t="s">
        <v>127</v>
      </c>
      <c r="B56" s="9"/>
      <c r="C56" s="10"/>
    </row>
    <row r="57" spans="1:3" x14ac:dyDescent="0.25">
      <c r="A57" s="8" t="s">
        <v>128</v>
      </c>
      <c r="B57" s="9"/>
      <c r="C57" s="10"/>
    </row>
    <row r="58" spans="1:3" x14ac:dyDescent="0.25">
      <c r="A58" s="8" t="s">
        <v>129</v>
      </c>
      <c r="B58" s="9"/>
      <c r="C58" s="10"/>
    </row>
    <row r="59" spans="1:3" x14ac:dyDescent="0.25">
      <c r="A59" s="8" t="s">
        <v>130</v>
      </c>
      <c r="B59" s="9"/>
      <c r="C59" s="10"/>
    </row>
    <row r="60" spans="1:3" x14ac:dyDescent="0.25">
      <c r="A60" s="8" t="s">
        <v>131</v>
      </c>
      <c r="B60" s="9"/>
      <c r="C60" s="10"/>
    </row>
    <row r="61" spans="1:3" x14ac:dyDescent="0.25">
      <c r="A61" s="8" t="s">
        <v>132</v>
      </c>
      <c r="B61" s="9"/>
      <c r="C61" s="10"/>
    </row>
    <row r="62" spans="1:3" x14ac:dyDescent="0.25">
      <c r="A62" s="8" t="s">
        <v>133</v>
      </c>
      <c r="B62" s="9"/>
      <c r="C62" s="10"/>
    </row>
    <row r="63" spans="1:3" x14ac:dyDescent="0.25">
      <c r="A63" s="34" t="s">
        <v>134</v>
      </c>
      <c r="B63" s="34"/>
      <c r="C63" s="34"/>
    </row>
    <row r="64" spans="1:3" x14ac:dyDescent="0.25">
      <c r="A64" s="8" t="s">
        <v>135</v>
      </c>
      <c r="B64" s="9"/>
      <c r="C64" s="10"/>
    </row>
    <row r="65" spans="1:3" ht="25.5" x14ac:dyDescent="0.25">
      <c r="A65" s="8" t="s">
        <v>136</v>
      </c>
      <c r="B65" s="9"/>
      <c r="C65" s="10"/>
    </row>
    <row r="66" spans="1:3" x14ac:dyDescent="0.25">
      <c r="A66" s="8" t="s">
        <v>137</v>
      </c>
      <c r="B66" s="9"/>
      <c r="C66" s="10"/>
    </row>
    <row r="67" spans="1:3" x14ac:dyDescent="0.25">
      <c r="A67" s="8" t="s">
        <v>138</v>
      </c>
      <c r="B67" s="9"/>
      <c r="C67" s="10"/>
    </row>
    <row r="68" spans="1:3" x14ac:dyDescent="0.25">
      <c r="A68" s="8" t="s">
        <v>139</v>
      </c>
      <c r="B68" s="9"/>
      <c r="C68" s="10"/>
    </row>
    <row r="69" spans="1:3" x14ac:dyDescent="0.25">
      <c r="A69" s="8" t="s">
        <v>140</v>
      </c>
      <c r="B69" s="9"/>
      <c r="C69" s="10"/>
    </row>
    <row r="70" spans="1:3" x14ac:dyDescent="0.25">
      <c r="A70" s="8" t="s">
        <v>141</v>
      </c>
      <c r="B70" s="9"/>
      <c r="C70" s="10"/>
    </row>
    <row r="71" spans="1:3" x14ac:dyDescent="0.25">
      <c r="A71" s="8" t="s">
        <v>142</v>
      </c>
      <c r="B71" s="9"/>
      <c r="C71" s="10"/>
    </row>
    <row r="72" spans="1:3" ht="19.5" customHeight="1" x14ac:dyDescent="0.25">
      <c r="A72" s="36" t="s">
        <v>143</v>
      </c>
      <c r="B72" s="36"/>
      <c r="C72" s="36"/>
    </row>
    <row r="73" spans="1:3" x14ac:dyDescent="0.25">
      <c r="A73" s="34" t="s">
        <v>144</v>
      </c>
      <c r="B73" s="34"/>
      <c r="C73" s="34"/>
    </row>
    <row r="74" spans="1:3" x14ac:dyDescent="0.25">
      <c r="A74" s="8" t="s">
        <v>145</v>
      </c>
      <c r="B74" s="9"/>
      <c r="C74" s="10"/>
    </row>
    <row r="75" spans="1:3" x14ac:dyDescent="0.25">
      <c r="A75" s="8" t="s">
        <v>146</v>
      </c>
      <c r="B75" s="9"/>
      <c r="C75" s="10"/>
    </row>
    <row r="76" spans="1:3" x14ac:dyDescent="0.25">
      <c r="A76" s="8" t="s">
        <v>147</v>
      </c>
      <c r="B76" s="9"/>
      <c r="C76" s="10"/>
    </row>
    <row r="77" spans="1:3" x14ac:dyDescent="0.25">
      <c r="A77" s="8" t="s">
        <v>148</v>
      </c>
      <c r="B77" s="9"/>
      <c r="C77" s="10"/>
    </row>
    <row r="78" spans="1:3" x14ac:dyDescent="0.25">
      <c r="A78" s="34" t="s">
        <v>149</v>
      </c>
      <c r="B78" s="34"/>
      <c r="C78" s="34"/>
    </row>
    <row r="79" spans="1:3" x14ac:dyDescent="0.25">
      <c r="A79" s="8" t="s">
        <v>150</v>
      </c>
      <c r="B79" s="9"/>
      <c r="C79" s="10"/>
    </row>
    <row r="80" spans="1:3" x14ac:dyDescent="0.25">
      <c r="A80" s="8" t="s">
        <v>151</v>
      </c>
      <c r="B80" s="9"/>
      <c r="C80" s="10"/>
    </row>
    <row r="81" spans="1:3" ht="25.5" x14ac:dyDescent="0.25">
      <c r="A81" s="8" t="s">
        <v>152</v>
      </c>
      <c r="B81" s="9"/>
      <c r="C81" s="10"/>
    </row>
  </sheetData>
  <mergeCells count="18">
    <mergeCell ref="A1:C1"/>
    <mergeCell ref="A2:C2"/>
    <mergeCell ref="A5:C5"/>
    <mergeCell ref="A6:C6"/>
    <mergeCell ref="A14:C14"/>
    <mergeCell ref="A20:C20"/>
    <mergeCell ref="A21:C21"/>
    <mergeCell ref="A30:C30"/>
    <mergeCell ref="A40:C40"/>
    <mergeCell ref="A41:C41"/>
    <mergeCell ref="A73:C73"/>
    <mergeCell ref="A78:C78"/>
    <mergeCell ref="H28:J28"/>
    <mergeCell ref="A48:C48"/>
    <mergeCell ref="A54:C54"/>
    <mergeCell ref="A55:C55"/>
    <mergeCell ref="A63:C63"/>
    <mergeCell ref="A72:C72"/>
  </mergeCells>
  <dataValidations count="1">
    <dataValidation type="list" allowBlank="1" showInputMessage="1" showErrorMessage="1" sqref="C37 C34 C28" xr:uid="{ADDAB0D8-C4B3-4088-924A-76B4C2C2591B}">
      <formula1>$H$30:$J$30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Listas!$N$2:$N$6</xm:f>
          </x14:formula1>
          <x14:formula2>
            <xm:f>0</xm:f>
          </x14:formula2>
          <xm:sqref>B25</xm:sqref>
        </x14:dataValidation>
        <x14:dataValidation type="list" allowBlank="1" xr:uid="{00000000-0002-0000-0200-000001000000}">
          <x14:formula1>
            <xm:f>Listas!$D$2:$D$4</xm:f>
          </x14:formula1>
          <x14:formula2>
            <xm:f>0</xm:f>
          </x14:formula2>
          <xm:sqref>B28 B34 B37</xm:sqref>
        </x14:dataValidation>
        <x14:dataValidation type="list" allowBlank="1" xr:uid="{00000000-0002-0000-0200-000004000000}">
          <x14:formula1>
            <xm:f>Listas!$A$2:$A$3</xm:f>
          </x14:formula1>
          <x14:formula2>
            <xm:f>0</xm:f>
          </x14:formula2>
          <xm:sqref>B38 B79 B76 B74 B69:B70 B67 B64 B61 B53 B51 B49 B46 B43</xm:sqref>
        </x14:dataValidation>
        <x14:dataValidation type="list" allowBlank="1" xr:uid="{00000000-0002-0000-0200-000008000000}">
          <x14:formula1>
            <xm:f>Listas!$C$2:$C$3</xm:f>
          </x14:formula1>
          <x14:formula2>
            <xm:f>0</xm:f>
          </x14:formula2>
          <xm:sqref>B50</xm:sqref>
        </x14:dataValidation>
        <x14:dataValidation type="list" allowBlank="1" xr:uid="{00000000-0002-0000-0200-00000B000000}">
          <x14:formula1>
            <xm:f>Listas!$O$2:$O$6</xm:f>
          </x14:formula1>
          <x14:formula2>
            <xm:f>0</xm:f>
          </x14:formula2>
          <xm:sqref>B58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AA111"/>
  <sheetViews>
    <sheetView topLeftCell="N1" zoomScale="87" zoomScaleNormal="130" workbookViewId="0">
      <pane ySplit="4" topLeftCell="A5" activePane="bottomLeft" state="frozen"/>
      <selection pane="bottomLeft" activeCell="A4" sqref="A4:A5"/>
    </sheetView>
  </sheetViews>
  <sheetFormatPr baseColWidth="10" defaultColWidth="8.7109375" defaultRowHeight="15" x14ac:dyDescent="0.25"/>
  <cols>
    <col min="1" max="1" width="7" customWidth="1"/>
    <col min="2" max="2" width="16" customWidth="1"/>
    <col min="3" max="3" width="18" customWidth="1"/>
    <col min="4" max="4" width="20" customWidth="1"/>
    <col min="5" max="5" width="22" customWidth="1"/>
    <col min="6" max="7" width="12" customWidth="1"/>
    <col min="8" max="9" width="16" customWidth="1"/>
    <col min="10" max="15" width="10" customWidth="1"/>
    <col min="16" max="16" width="10.85546875" customWidth="1"/>
    <col min="17" max="17" width="10" customWidth="1"/>
    <col min="18" max="18" width="15.42578125" customWidth="1"/>
    <col min="19" max="20" width="12" customWidth="1"/>
    <col min="21" max="21" width="18" customWidth="1"/>
    <col min="22" max="22" width="20" customWidth="1"/>
    <col min="23" max="25" width="12" customWidth="1"/>
    <col min="26" max="26" width="27.85546875" customWidth="1"/>
    <col min="27" max="27" width="19" customWidth="1"/>
    <col min="28" max="28" width="8.85546875" customWidth="1"/>
  </cols>
  <sheetData>
    <row r="1" spans="1:27" ht="25.5" customHeight="1" x14ac:dyDescent="0.25">
      <c r="A1" s="27" t="s">
        <v>153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31.5" customHeight="1" x14ac:dyDescent="0.25">
      <c r="A2" s="28" t="s">
        <v>154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21.75" customHeight="1" x14ac:dyDescent="0.25">
      <c r="A3" s="29" t="s">
        <v>155</v>
      </c>
      <c r="B3" s="29"/>
      <c r="C3" s="29" t="s">
        <v>156</v>
      </c>
      <c r="D3" s="29"/>
      <c r="E3" s="29"/>
      <c r="F3" s="29" t="s">
        <v>296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 t="s">
        <v>157</v>
      </c>
      <c r="U3" s="29"/>
      <c r="V3" s="29"/>
      <c r="W3" s="1"/>
      <c r="X3" s="1"/>
      <c r="Y3" s="1" t="s">
        <v>158</v>
      </c>
      <c r="Z3" s="29" t="s">
        <v>159</v>
      </c>
      <c r="AA3" s="29"/>
    </row>
    <row r="4" spans="1:27" ht="43.15" customHeight="1" x14ac:dyDescent="0.25">
      <c r="A4" s="37" t="s">
        <v>42</v>
      </c>
      <c r="B4" s="37" t="s">
        <v>160</v>
      </c>
      <c r="C4" s="37" t="s">
        <v>46</v>
      </c>
      <c r="D4" s="37" t="s">
        <v>54</v>
      </c>
      <c r="E4" s="37" t="s">
        <v>324</v>
      </c>
      <c r="F4" s="37" t="s">
        <v>161</v>
      </c>
      <c r="G4" s="37" t="s">
        <v>162</v>
      </c>
      <c r="H4" s="37" t="s">
        <v>163</v>
      </c>
      <c r="I4" s="37" t="s">
        <v>299</v>
      </c>
      <c r="J4" s="39" t="s">
        <v>301</v>
      </c>
      <c r="K4" s="40"/>
      <c r="L4" s="41"/>
      <c r="M4" s="39" t="s">
        <v>302</v>
      </c>
      <c r="N4" s="40"/>
      <c r="O4" s="41"/>
      <c r="P4" s="39" t="s">
        <v>303</v>
      </c>
      <c r="Q4" s="40"/>
      <c r="R4" s="41"/>
      <c r="S4" s="37" t="s">
        <v>305</v>
      </c>
      <c r="T4" s="37" t="s">
        <v>167</v>
      </c>
      <c r="U4" s="37" t="s">
        <v>168</v>
      </c>
      <c r="V4" s="37" t="s">
        <v>169</v>
      </c>
      <c r="W4" s="39" t="s">
        <v>308</v>
      </c>
      <c r="X4" s="41"/>
      <c r="Y4" s="37" t="s">
        <v>170</v>
      </c>
      <c r="Z4" s="37" t="s">
        <v>172</v>
      </c>
      <c r="AA4" s="37" t="s">
        <v>171</v>
      </c>
    </row>
    <row r="5" spans="1:27" ht="25.5" x14ac:dyDescent="0.25">
      <c r="A5" s="38"/>
      <c r="B5" s="38"/>
      <c r="C5" s="38"/>
      <c r="D5" s="38"/>
      <c r="E5" s="38"/>
      <c r="F5" s="38"/>
      <c r="G5" s="38"/>
      <c r="H5" s="38"/>
      <c r="I5" s="38"/>
      <c r="J5" s="5" t="s">
        <v>164</v>
      </c>
      <c r="K5" s="5" t="s">
        <v>297</v>
      </c>
      <c r="L5" s="5" t="s">
        <v>300</v>
      </c>
      <c r="M5" s="5" t="s">
        <v>165</v>
      </c>
      <c r="N5" s="5" t="s">
        <v>298</v>
      </c>
      <c r="O5" s="5" t="s">
        <v>300</v>
      </c>
      <c r="P5" s="5" t="s">
        <v>304</v>
      </c>
      <c r="Q5" s="5" t="s">
        <v>158</v>
      </c>
      <c r="R5" s="5" t="s">
        <v>300</v>
      </c>
      <c r="S5" s="38"/>
      <c r="T5" s="38"/>
      <c r="U5" s="38"/>
      <c r="V5" s="38"/>
      <c r="W5" s="5" t="s">
        <v>309</v>
      </c>
      <c r="X5" s="5" t="s">
        <v>310</v>
      </c>
      <c r="Y5" s="38"/>
      <c r="Z5" s="38"/>
      <c r="AA5" s="38"/>
    </row>
    <row r="6" spans="1:27" x14ac:dyDescent="0.25">
      <c r="A6" s="13"/>
      <c r="B6" s="13"/>
      <c r="C6" s="13"/>
      <c r="D6" s="13"/>
      <c r="E6" s="13"/>
      <c r="F6" s="14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13"/>
      <c r="D7" s="13"/>
      <c r="E7" s="13"/>
      <c r="F7" s="14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13"/>
      <c r="D8" s="13"/>
      <c r="E8" s="13"/>
      <c r="F8" s="14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13"/>
      <c r="D9" s="13"/>
      <c r="E9" s="13"/>
      <c r="F9" s="14"/>
      <c r="G9" s="1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13"/>
      <c r="D10" s="13"/>
      <c r="E10" s="13"/>
      <c r="F10" s="14"/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13"/>
      <c r="D11" s="13"/>
      <c r="E11" s="13"/>
      <c r="F11" s="14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13"/>
      <c r="D12" s="13"/>
      <c r="E12" s="13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13"/>
      <c r="D13" s="13"/>
      <c r="E13" s="13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3"/>
      <c r="D14" s="13"/>
      <c r="E14" s="13"/>
      <c r="F14" s="14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13"/>
      <c r="D15" s="13"/>
      <c r="E15" s="13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13"/>
      <c r="D16" s="13"/>
      <c r="E16" s="13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13"/>
      <c r="D17" s="13"/>
      <c r="E17" s="13"/>
      <c r="F17" s="14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13"/>
      <c r="D18" s="13"/>
      <c r="E18" s="13"/>
      <c r="F18" s="14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13"/>
      <c r="D19" s="13"/>
      <c r="E19" s="13"/>
      <c r="F19" s="14"/>
      <c r="G19" s="1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4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4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4"/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4"/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/>
      <c r="D27" s="13"/>
      <c r="E27" s="13"/>
      <c r="F27" s="14"/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/>
      <c r="D28" s="13"/>
      <c r="E28" s="13"/>
      <c r="F28" s="14"/>
      <c r="G28" s="1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/>
      <c r="D29" s="13"/>
      <c r="E29" s="13"/>
      <c r="F29" s="14"/>
      <c r="G29" s="1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/>
      <c r="D30" s="13"/>
      <c r="E30" s="13"/>
      <c r="F30" s="14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13"/>
      <c r="D31" s="13"/>
      <c r="E31" s="13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13"/>
      <c r="D32" s="13"/>
      <c r="E32" s="13"/>
      <c r="F32" s="14"/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13"/>
      <c r="D33" s="13"/>
      <c r="E33" s="13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13"/>
      <c r="D34" s="13"/>
      <c r="E34" s="13"/>
      <c r="F34" s="14"/>
      <c r="G34" s="1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13"/>
      <c r="D35" s="13"/>
      <c r="E35" s="13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13"/>
      <c r="D36" s="13"/>
      <c r="E36" s="13"/>
      <c r="F36" s="14"/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4"/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4"/>
      <c r="G38" s="14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4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4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4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4"/>
      <c r="G44" s="1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4"/>
      <c r="G45" s="14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4"/>
      <c r="G46" s="1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4"/>
      <c r="G47" s="1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4"/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4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4"/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4"/>
      <c r="G51" s="1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4"/>
      <c r="G52" s="1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4"/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4"/>
      <c r="G54" s="1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4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4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4"/>
      <c r="G57" s="14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4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4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4"/>
      <c r="G60" s="14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4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4"/>
      <c r="G62" s="14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4"/>
      <c r="G63" s="14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4"/>
      <c r="G64" s="14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4"/>
      <c r="G65" s="14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4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4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4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4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4"/>
      <c r="G70" s="14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4"/>
      <c r="G71" s="14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4"/>
      <c r="G72" s="14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4"/>
      <c r="G73" s="14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4"/>
      <c r="G74" s="14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W75" s="13"/>
    </row>
    <row r="76" spans="1:27" x14ac:dyDescent="0.25">
      <c r="W76" s="13"/>
    </row>
    <row r="77" spans="1:27" x14ac:dyDescent="0.25">
      <c r="W77" s="13"/>
    </row>
    <row r="78" spans="1:27" x14ac:dyDescent="0.25">
      <c r="W78" s="13"/>
    </row>
    <row r="79" spans="1:27" x14ac:dyDescent="0.25">
      <c r="W79" s="13"/>
    </row>
    <row r="80" spans="1:27" x14ac:dyDescent="0.25">
      <c r="W80" s="13"/>
    </row>
    <row r="81" spans="23:23" x14ac:dyDescent="0.25">
      <c r="W81" s="13"/>
    </row>
    <row r="82" spans="23:23" x14ac:dyDescent="0.25">
      <c r="W82" s="13"/>
    </row>
    <row r="83" spans="23:23" x14ac:dyDescent="0.25">
      <c r="W83" s="13"/>
    </row>
    <row r="84" spans="23:23" x14ac:dyDescent="0.25">
      <c r="W84" s="13"/>
    </row>
    <row r="85" spans="23:23" x14ac:dyDescent="0.25">
      <c r="W85" s="13"/>
    </row>
    <row r="86" spans="23:23" x14ac:dyDescent="0.25">
      <c r="W86" s="13"/>
    </row>
    <row r="87" spans="23:23" x14ac:dyDescent="0.25">
      <c r="W87" s="13"/>
    </row>
    <row r="88" spans="23:23" x14ac:dyDescent="0.25">
      <c r="W88" s="13"/>
    </row>
    <row r="89" spans="23:23" x14ac:dyDescent="0.25">
      <c r="W89" s="13"/>
    </row>
    <row r="90" spans="23:23" x14ac:dyDescent="0.25">
      <c r="W90" s="13"/>
    </row>
    <row r="91" spans="23:23" x14ac:dyDescent="0.25">
      <c r="W91" s="13"/>
    </row>
    <row r="92" spans="23:23" x14ac:dyDescent="0.25">
      <c r="W92" s="13"/>
    </row>
    <row r="93" spans="23:23" x14ac:dyDescent="0.25">
      <c r="W93" s="13"/>
    </row>
    <row r="94" spans="23:23" x14ac:dyDescent="0.25">
      <c r="W94" s="13"/>
    </row>
    <row r="95" spans="23:23" x14ac:dyDescent="0.25">
      <c r="W95" s="13"/>
    </row>
    <row r="96" spans="23:23" x14ac:dyDescent="0.25">
      <c r="W96" s="13"/>
    </row>
    <row r="97" spans="23:23" x14ac:dyDescent="0.25">
      <c r="W97" s="13"/>
    </row>
    <row r="98" spans="23:23" x14ac:dyDescent="0.25">
      <c r="W98" s="13"/>
    </row>
    <row r="99" spans="23:23" x14ac:dyDescent="0.25">
      <c r="W99" s="13"/>
    </row>
    <row r="100" spans="23:23" x14ac:dyDescent="0.25">
      <c r="W100" s="13"/>
    </row>
    <row r="101" spans="23:23" x14ac:dyDescent="0.25">
      <c r="W101" s="13"/>
    </row>
    <row r="102" spans="23:23" x14ac:dyDescent="0.25">
      <c r="W102" s="13"/>
    </row>
    <row r="103" spans="23:23" x14ac:dyDescent="0.25">
      <c r="W103" s="13"/>
    </row>
    <row r="104" spans="23:23" x14ac:dyDescent="0.25">
      <c r="W104" s="13"/>
    </row>
    <row r="105" spans="23:23" x14ac:dyDescent="0.25">
      <c r="W105" s="13"/>
    </row>
    <row r="106" spans="23:23" x14ac:dyDescent="0.25">
      <c r="W106" s="13"/>
    </row>
    <row r="107" spans="23:23" x14ac:dyDescent="0.25">
      <c r="W107" s="13"/>
    </row>
    <row r="108" spans="23:23" x14ac:dyDescent="0.25">
      <c r="W108" s="13"/>
    </row>
    <row r="109" spans="23:23" x14ac:dyDescent="0.25">
      <c r="W109" s="13"/>
    </row>
    <row r="110" spans="23:23" x14ac:dyDescent="0.25">
      <c r="W110" s="13"/>
    </row>
    <row r="111" spans="23:23" x14ac:dyDescent="0.25">
      <c r="W111" s="13"/>
    </row>
  </sheetData>
  <autoFilter ref="A4:AA74" xr:uid="{00000000-0009-0000-0000-000003000000}"/>
  <mergeCells count="27">
    <mergeCell ref="A1:AA1"/>
    <mergeCell ref="A2:AA2"/>
    <mergeCell ref="A3:B3"/>
    <mergeCell ref="C3:E3"/>
    <mergeCell ref="F3:S3"/>
    <mergeCell ref="T3:V3"/>
    <mergeCell ref="Z3:AA3"/>
    <mergeCell ref="Y4:Y5"/>
    <mergeCell ref="Z4:Z5"/>
    <mergeCell ref="AA4:AA5"/>
    <mergeCell ref="I4:I5"/>
    <mergeCell ref="H4:H5"/>
    <mergeCell ref="J4:L4"/>
    <mergeCell ref="M4:O4"/>
    <mergeCell ref="P4:R4"/>
    <mergeCell ref="W4:X4"/>
    <mergeCell ref="S4:S5"/>
    <mergeCell ref="T4:T5"/>
    <mergeCell ref="U4:U5"/>
    <mergeCell ref="V4:V5"/>
    <mergeCell ref="B4:B5"/>
    <mergeCell ref="A4:A5"/>
    <mergeCell ref="G4:G5"/>
    <mergeCell ref="F4:F5"/>
    <mergeCell ref="E4:E5"/>
    <mergeCell ref="D4:D5"/>
    <mergeCell ref="C4:C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Title="Valor no válido" error="Seleccione un valor de la lista." xr:uid="{00000000-0002-0000-0300-000000000000}">
          <x14:formula1>
            <xm:f>Listas!$E$2:$E$6</xm:f>
          </x14:formula1>
          <x14:formula2>
            <xm:f>0</xm:f>
          </x14:formula2>
          <xm:sqref>A6:A74</xm:sqref>
        </x14:dataValidation>
        <x14:dataValidation type="list" allowBlank="1" errorTitle="Valor no válido" error="Seleccione un valor de la lista." xr:uid="{00000000-0002-0000-0300-000001000000}">
          <x14:formula1>
            <xm:f>Listas!$P$2:$P$7</xm:f>
          </x14:formula1>
          <x14:formula2>
            <xm:f>0</xm:f>
          </x14:formula2>
          <xm:sqref>C6:C74</xm:sqref>
        </x14:dataValidation>
        <x14:dataValidation type="list" allowBlank="1" errorTitle="Valor no válido" error="Seleccione un valor de la lista." xr:uid="{00000000-0002-0000-0300-000004000000}">
          <x14:formula1>
            <xm:f>Listas!$H$2:$H$7</xm:f>
          </x14:formula1>
          <x14:formula2>
            <xm:f>0</xm:f>
          </x14:formula2>
          <xm:sqref>S6:S74</xm:sqref>
        </x14:dataValidation>
        <x14:dataValidation type="list" allowBlank="1" errorTitle="Valor no válido" error="Seleccione un valor de la lista." xr:uid="{00000000-0002-0000-0300-000005000000}">
          <x14:formula1>
            <xm:f>Listas!$A$2:$A$3</xm:f>
          </x14:formula1>
          <x14:formula2>
            <xm:f>0</xm:f>
          </x14:formula2>
          <xm:sqref>T6:T74</xm:sqref>
        </x14:dataValidation>
        <x14:dataValidation type="list" allowBlank="1" errorTitle="Valor no válido" error="Seleccione un valor de la lista." xr:uid="{00000000-0002-0000-0300-000006000000}">
          <x14:formula1>
            <xm:f>Listas!$I$2:$I$6</xm:f>
          </x14:formula1>
          <x14:formula2>
            <xm:f>0</xm:f>
          </x14:formula2>
          <xm:sqref>U6:U74</xm:sqref>
        </x14:dataValidation>
        <x14:dataValidation type="list" allowBlank="1" errorTitle="Valor no válido" error="Seleccione un valor de la lista." xr:uid="{00000000-0002-0000-0300-000002000000}">
          <x14:formula1>
            <xm:f>Listas!$Q$2:$Q$17</xm:f>
          </x14:formula1>
          <x14:formula2>
            <xm:f>0</xm:f>
          </x14:formula2>
          <xm:sqref>D6:D74</xm:sqref>
        </x14:dataValidation>
        <x14:dataValidation type="list" allowBlank="1" showInputMessage="1" showErrorMessage="1" xr:uid="{8F0A7F02-A156-4E40-9D3A-CD2CA9AFAE58}">
          <x14:formula1>
            <xm:f>Listas!$D$2:$D$4</xm:f>
          </x14:formula1>
          <xm:sqref>K6:K25 N6:N28 Q6:Q28</xm:sqref>
        </x14:dataValidation>
        <x14:dataValidation type="list" allowBlank="1" showInputMessage="1" showErrorMessage="1" xr:uid="{3FC24A87-EB2D-45DA-8879-92C6A296C7F6}">
          <x14:formula1>
            <xm:f>Listas!$R$2:$R$19</xm:f>
          </x14:formula1>
          <xm:sqref>W6:W111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S75"/>
  <sheetViews>
    <sheetView topLeftCell="H1" zoomScaleNormal="100" workbookViewId="0">
      <pane ySplit="4" topLeftCell="A5" activePane="bottomLeft" state="frozen"/>
      <selection pane="bottomLeft" activeCell="O6" sqref="O6"/>
    </sheetView>
  </sheetViews>
  <sheetFormatPr baseColWidth="10" defaultColWidth="8.7109375" defaultRowHeight="15" x14ac:dyDescent="0.25"/>
  <cols>
    <col min="1" max="1" width="7" customWidth="1"/>
    <col min="2" max="2" width="16" customWidth="1"/>
    <col min="3" max="3" width="11" customWidth="1"/>
    <col min="4" max="5" width="16" customWidth="1"/>
    <col min="6" max="6" width="14" customWidth="1"/>
    <col min="7" max="7" width="12" customWidth="1"/>
    <col min="8" max="8" width="16" customWidth="1"/>
    <col min="9" max="9" width="18" customWidth="1"/>
    <col min="10" max="10" width="15" customWidth="1"/>
    <col min="11" max="11" width="16" customWidth="1"/>
    <col min="12" max="12" width="14" customWidth="1"/>
    <col min="13" max="13" width="13" customWidth="1"/>
    <col min="14" max="14" width="15" customWidth="1"/>
    <col min="15" max="15" width="14" customWidth="1"/>
    <col min="16" max="16" width="13" customWidth="1"/>
    <col min="17" max="17" width="16" customWidth="1"/>
    <col min="18" max="18" width="14" customWidth="1"/>
    <col min="19" max="19" width="30" customWidth="1"/>
  </cols>
  <sheetData>
    <row r="1" spans="1:19" ht="25.5" customHeight="1" x14ac:dyDescent="0.25">
      <c r="A1" s="27" t="s">
        <v>179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1.5" customHeight="1" x14ac:dyDescent="0.25">
      <c r="A2" s="28" t="s">
        <v>180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21.75" customHeight="1" x14ac:dyDescent="0.25">
      <c r="A3" s="29" t="s">
        <v>155</v>
      </c>
      <c r="B3" s="29"/>
      <c r="C3" s="29" t="s">
        <v>181</v>
      </c>
      <c r="D3" s="29"/>
      <c r="E3" s="29"/>
      <c r="F3" s="29"/>
      <c r="G3" s="29" t="s">
        <v>182</v>
      </c>
      <c r="H3" s="29"/>
      <c r="I3" s="29"/>
      <c r="J3" s="29"/>
      <c r="K3" s="29"/>
      <c r="L3" s="29" t="s">
        <v>183</v>
      </c>
      <c r="M3" s="29"/>
      <c r="N3" s="29"/>
      <c r="O3" s="29"/>
      <c r="P3" s="1"/>
      <c r="Q3" s="29" t="s">
        <v>184</v>
      </c>
      <c r="R3" s="29"/>
      <c r="S3" s="1" t="s">
        <v>159</v>
      </c>
    </row>
    <row r="4" spans="1:19" ht="42.6" customHeight="1" x14ac:dyDescent="0.25">
      <c r="A4" s="5" t="s">
        <v>42</v>
      </c>
      <c r="B4" s="5" t="s">
        <v>160</v>
      </c>
      <c r="C4" s="5" t="s">
        <v>44</v>
      </c>
      <c r="D4" s="5" t="s">
        <v>185</v>
      </c>
      <c r="E4" s="5" t="s">
        <v>306</v>
      </c>
      <c r="F4" s="5" t="s">
        <v>186</v>
      </c>
      <c r="G4" s="5" t="s">
        <v>307</v>
      </c>
      <c r="H4" s="5" t="s">
        <v>292</v>
      </c>
      <c r="I4" s="5" t="s">
        <v>187</v>
      </c>
      <c r="J4" s="5" t="s">
        <v>311</v>
      </c>
      <c r="K4" s="5" t="s">
        <v>188</v>
      </c>
      <c r="L4" s="5" t="s">
        <v>189</v>
      </c>
      <c r="M4" s="5" t="s">
        <v>190</v>
      </c>
      <c r="N4" s="5" t="s">
        <v>31</v>
      </c>
      <c r="O4" s="5" t="s">
        <v>191</v>
      </c>
      <c r="P4" s="5" t="s">
        <v>192</v>
      </c>
      <c r="Q4" s="5" t="s">
        <v>193</v>
      </c>
      <c r="R4" s="5" t="s">
        <v>194</v>
      </c>
      <c r="S4" s="5" t="s">
        <v>172</v>
      </c>
    </row>
    <row r="5" spans="1:19" x14ac:dyDescent="0.25">
      <c r="A5" s="11">
        <v>1</v>
      </c>
      <c r="B5" s="11" t="s">
        <v>173</v>
      </c>
      <c r="C5" s="12">
        <v>40</v>
      </c>
      <c r="D5" s="12">
        <v>37</v>
      </c>
      <c r="E5" s="12">
        <v>20</v>
      </c>
      <c r="F5" s="11" t="s">
        <v>176</v>
      </c>
      <c r="G5" s="12">
        <v>1</v>
      </c>
      <c r="H5" s="11" t="s">
        <v>195</v>
      </c>
      <c r="I5" s="12">
        <v>1</v>
      </c>
      <c r="J5" s="11" t="s">
        <v>176</v>
      </c>
      <c r="K5" s="12">
        <v>1</v>
      </c>
      <c r="L5" s="12">
        <v>12</v>
      </c>
      <c r="M5" s="12">
        <v>8</v>
      </c>
      <c r="N5" s="12">
        <v>7</v>
      </c>
      <c r="O5" s="11" t="s">
        <v>196</v>
      </c>
      <c r="P5" s="11" t="s">
        <v>176</v>
      </c>
      <c r="Q5" s="11" t="s">
        <v>197</v>
      </c>
      <c r="R5" s="11" t="s">
        <v>176</v>
      </c>
      <c r="S5" s="11" t="s">
        <v>198</v>
      </c>
    </row>
    <row r="6" spans="1:19" x14ac:dyDescent="0.25">
      <c r="A6" s="13"/>
      <c r="B6" s="13"/>
      <c r="C6" s="15"/>
      <c r="D6" s="15"/>
      <c r="E6" s="15"/>
      <c r="F6" s="13"/>
      <c r="G6" s="15"/>
      <c r="H6" s="13"/>
      <c r="I6" s="15"/>
      <c r="J6" s="13"/>
      <c r="K6" s="15"/>
      <c r="L6" s="15"/>
      <c r="M6" s="15"/>
      <c r="N6" s="15"/>
      <c r="O6" s="13"/>
      <c r="P6" s="13"/>
      <c r="Q6" s="13"/>
      <c r="R6" s="13"/>
      <c r="S6" s="13"/>
    </row>
    <row r="7" spans="1:19" x14ac:dyDescent="0.25">
      <c r="A7" s="13"/>
      <c r="B7" s="13"/>
      <c r="C7" s="15"/>
      <c r="D7" s="15"/>
      <c r="E7" s="15"/>
      <c r="F7" s="13"/>
      <c r="G7" s="15"/>
      <c r="H7" s="13"/>
      <c r="I7" s="15"/>
      <c r="J7" s="13"/>
      <c r="K7" s="15"/>
      <c r="L7" s="15"/>
      <c r="M7" s="15"/>
      <c r="N7" s="15"/>
      <c r="O7" s="13"/>
      <c r="P7" s="13"/>
      <c r="Q7" s="13"/>
      <c r="R7" s="13"/>
      <c r="S7" s="13"/>
    </row>
    <row r="8" spans="1:19" x14ac:dyDescent="0.25">
      <c r="A8" s="13"/>
      <c r="B8" s="13"/>
      <c r="C8" s="15"/>
      <c r="D8" s="15"/>
      <c r="E8" s="15"/>
      <c r="F8" s="13"/>
      <c r="G8" s="15"/>
      <c r="H8" s="13"/>
      <c r="I8" s="15"/>
      <c r="J8" s="13"/>
      <c r="K8" s="15"/>
      <c r="L8" s="15"/>
      <c r="M8" s="15"/>
      <c r="N8" s="15"/>
      <c r="O8" s="13"/>
      <c r="P8" s="13"/>
      <c r="Q8" s="13"/>
      <c r="R8" s="13"/>
      <c r="S8" s="13"/>
    </row>
    <row r="9" spans="1:19" x14ac:dyDescent="0.25">
      <c r="A9" s="13"/>
      <c r="B9" s="13"/>
      <c r="C9" s="15"/>
      <c r="D9" s="15"/>
      <c r="E9" s="15"/>
      <c r="F9" s="13"/>
      <c r="G9" s="15"/>
      <c r="H9" s="13"/>
      <c r="I9" s="15"/>
      <c r="J9" s="13"/>
      <c r="K9" s="15"/>
      <c r="L9" s="15"/>
      <c r="M9" s="15"/>
      <c r="N9" s="15"/>
      <c r="O9" s="13"/>
      <c r="P9" s="13"/>
      <c r="Q9" s="13"/>
      <c r="R9" s="13"/>
      <c r="S9" s="13"/>
    </row>
    <row r="10" spans="1:19" x14ac:dyDescent="0.25">
      <c r="A10" s="13"/>
      <c r="B10" s="13"/>
      <c r="C10" s="15"/>
      <c r="D10" s="15"/>
      <c r="E10" s="15"/>
      <c r="F10" s="13"/>
      <c r="G10" s="15"/>
      <c r="H10" s="13"/>
      <c r="I10" s="15"/>
      <c r="J10" s="13"/>
      <c r="K10" s="15"/>
      <c r="L10" s="15"/>
      <c r="M10" s="15"/>
      <c r="N10" s="15"/>
      <c r="O10" s="13"/>
      <c r="P10" s="13"/>
      <c r="Q10" s="13"/>
      <c r="R10" s="13"/>
      <c r="S10" s="13"/>
    </row>
    <row r="11" spans="1:19" x14ac:dyDescent="0.25">
      <c r="A11" s="13"/>
      <c r="B11" s="13"/>
      <c r="C11" s="15"/>
      <c r="D11" s="15"/>
      <c r="E11" s="15"/>
      <c r="F11" s="13"/>
      <c r="G11" s="15"/>
      <c r="H11" s="13"/>
      <c r="I11" s="15"/>
      <c r="J11" s="13"/>
      <c r="K11" s="15"/>
      <c r="L11" s="15"/>
      <c r="M11" s="15"/>
      <c r="N11" s="15"/>
      <c r="O11" s="13"/>
      <c r="P11" s="13"/>
      <c r="Q11" s="13"/>
      <c r="R11" s="13"/>
      <c r="S11" s="13"/>
    </row>
    <row r="12" spans="1:19" x14ac:dyDescent="0.25">
      <c r="A12" s="13"/>
      <c r="B12" s="13"/>
      <c r="C12" s="15"/>
      <c r="D12" s="15"/>
      <c r="E12" s="15"/>
      <c r="F12" s="13"/>
      <c r="G12" s="15"/>
      <c r="H12" s="13"/>
      <c r="I12" s="15"/>
      <c r="J12" s="13"/>
      <c r="K12" s="15"/>
      <c r="L12" s="15"/>
      <c r="M12" s="15"/>
      <c r="N12" s="15"/>
      <c r="O12" s="13"/>
      <c r="P12" s="13"/>
      <c r="Q12" s="13"/>
      <c r="R12" s="13"/>
      <c r="S12" s="13"/>
    </row>
    <row r="13" spans="1:19" x14ac:dyDescent="0.25">
      <c r="A13" s="13"/>
      <c r="B13" s="13"/>
      <c r="C13" s="15"/>
      <c r="D13" s="15"/>
      <c r="E13" s="15"/>
      <c r="F13" s="13"/>
      <c r="G13" s="15"/>
      <c r="H13" s="13"/>
      <c r="I13" s="15"/>
      <c r="J13" s="13"/>
      <c r="K13" s="15"/>
      <c r="L13" s="15"/>
      <c r="M13" s="15"/>
      <c r="N13" s="15"/>
      <c r="O13" s="13"/>
      <c r="P13" s="13"/>
      <c r="Q13" s="13"/>
      <c r="R13" s="13"/>
      <c r="S13" s="13"/>
    </row>
    <row r="14" spans="1:19" x14ac:dyDescent="0.25">
      <c r="A14" s="13"/>
      <c r="B14" s="13"/>
      <c r="C14" s="15"/>
      <c r="D14" s="15"/>
      <c r="E14" s="15"/>
      <c r="F14" s="13"/>
      <c r="G14" s="15"/>
      <c r="H14" s="13"/>
      <c r="I14" s="15"/>
      <c r="J14" s="13"/>
      <c r="K14" s="15"/>
      <c r="L14" s="15"/>
      <c r="M14" s="15"/>
      <c r="N14" s="15"/>
      <c r="O14" s="13"/>
      <c r="P14" s="13"/>
      <c r="Q14" s="13"/>
      <c r="R14" s="13"/>
      <c r="S14" s="13"/>
    </row>
    <row r="15" spans="1:19" x14ac:dyDescent="0.25">
      <c r="A15" s="13"/>
      <c r="B15" s="13"/>
      <c r="C15" s="15"/>
      <c r="D15" s="15"/>
      <c r="E15" s="15"/>
      <c r="F15" s="13"/>
      <c r="G15" s="15"/>
      <c r="H15" s="13"/>
      <c r="I15" s="15"/>
      <c r="J15" s="13"/>
      <c r="K15" s="15"/>
      <c r="L15" s="15"/>
      <c r="M15" s="15"/>
      <c r="N15" s="15"/>
      <c r="O15" s="13"/>
      <c r="P15" s="13"/>
      <c r="Q15" s="13"/>
      <c r="R15" s="13"/>
      <c r="S15" s="13"/>
    </row>
    <row r="16" spans="1:19" x14ac:dyDescent="0.25">
      <c r="A16" s="13"/>
      <c r="B16" s="13"/>
      <c r="C16" s="15"/>
      <c r="D16" s="15"/>
      <c r="E16" s="15"/>
      <c r="F16" s="13"/>
      <c r="G16" s="15"/>
      <c r="H16" s="13"/>
      <c r="I16" s="15"/>
      <c r="J16" s="13"/>
      <c r="K16" s="15"/>
      <c r="L16" s="15"/>
      <c r="M16" s="15"/>
      <c r="N16" s="15"/>
      <c r="O16" s="13"/>
      <c r="P16" s="13"/>
      <c r="Q16" s="13"/>
      <c r="R16" s="13"/>
      <c r="S16" s="13"/>
    </row>
    <row r="17" spans="1:19" x14ac:dyDescent="0.25">
      <c r="A17" s="13"/>
      <c r="B17" s="13"/>
      <c r="C17" s="15"/>
      <c r="D17" s="15"/>
      <c r="E17" s="15"/>
      <c r="F17" s="13"/>
      <c r="G17" s="15"/>
      <c r="H17" s="13"/>
      <c r="I17" s="15"/>
      <c r="J17" s="13"/>
      <c r="K17" s="15"/>
      <c r="L17" s="15"/>
      <c r="M17" s="15"/>
      <c r="N17" s="15"/>
      <c r="O17" s="13"/>
      <c r="P17" s="13"/>
      <c r="Q17" s="13"/>
      <c r="R17" s="13"/>
      <c r="S17" s="13"/>
    </row>
    <row r="18" spans="1:19" x14ac:dyDescent="0.25">
      <c r="A18" s="13"/>
      <c r="B18" s="13"/>
      <c r="C18" s="15"/>
      <c r="D18" s="15"/>
      <c r="E18" s="15"/>
      <c r="F18" s="13"/>
      <c r="G18" s="15"/>
      <c r="H18" s="13"/>
      <c r="I18" s="15"/>
      <c r="J18" s="13"/>
      <c r="K18" s="15"/>
      <c r="L18" s="15"/>
      <c r="M18" s="15"/>
      <c r="N18" s="15"/>
      <c r="O18" s="13"/>
      <c r="P18" s="13"/>
      <c r="Q18" s="13"/>
      <c r="R18" s="13"/>
      <c r="S18" s="13"/>
    </row>
    <row r="19" spans="1:19" x14ac:dyDescent="0.25">
      <c r="A19" s="13"/>
      <c r="B19" s="13"/>
      <c r="C19" s="15"/>
      <c r="D19" s="15"/>
      <c r="E19" s="15"/>
      <c r="F19" s="13"/>
      <c r="G19" s="15"/>
      <c r="H19" s="13"/>
      <c r="I19" s="15"/>
      <c r="J19" s="13"/>
      <c r="K19" s="15"/>
      <c r="L19" s="15"/>
      <c r="M19" s="15"/>
      <c r="N19" s="15"/>
      <c r="O19" s="13"/>
      <c r="P19" s="13"/>
      <c r="Q19" s="13"/>
      <c r="R19" s="13"/>
      <c r="S19" s="13"/>
    </row>
    <row r="20" spans="1:19" x14ac:dyDescent="0.25">
      <c r="A20" s="13"/>
      <c r="B20" s="13"/>
      <c r="C20" s="15"/>
      <c r="D20" s="15"/>
      <c r="E20" s="15"/>
      <c r="F20" s="13"/>
      <c r="G20" s="15"/>
      <c r="H20" s="13"/>
      <c r="I20" s="15"/>
      <c r="J20" s="13"/>
      <c r="K20" s="15"/>
      <c r="L20" s="15"/>
      <c r="M20" s="15"/>
      <c r="N20" s="15"/>
      <c r="O20" s="13"/>
      <c r="P20" s="13"/>
      <c r="Q20" s="13"/>
      <c r="R20" s="13"/>
      <c r="S20" s="13"/>
    </row>
    <row r="21" spans="1:19" x14ac:dyDescent="0.25">
      <c r="A21" s="13"/>
      <c r="B21" s="13"/>
      <c r="C21" s="15"/>
      <c r="D21" s="15"/>
      <c r="E21" s="15"/>
      <c r="F21" s="13"/>
      <c r="G21" s="15"/>
      <c r="H21" s="13"/>
      <c r="I21" s="15"/>
      <c r="J21" s="13"/>
      <c r="K21" s="15"/>
      <c r="L21" s="15"/>
      <c r="M21" s="15"/>
      <c r="N21" s="15"/>
      <c r="O21" s="13"/>
      <c r="P21" s="13"/>
      <c r="Q21" s="13"/>
      <c r="R21" s="13"/>
      <c r="S21" s="13"/>
    </row>
    <row r="22" spans="1:19" x14ac:dyDescent="0.25">
      <c r="A22" s="13"/>
      <c r="B22" s="13"/>
      <c r="C22" s="15"/>
      <c r="D22" s="15"/>
      <c r="E22" s="15"/>
      <c r="F22" s="13"/>
      <c r="G22" s="15"/>
      <c r="H22" s="13"/>
      <c r="I22" s="15"/>
      <c r="J22" s="13"/>
      <c r="K22" s="15"/>
      <c r="L22" s="15"/>
      <c r="M22" s="15"/>
      <c r="N22" s="15"/>
      <c r="O22" s="13"/>
      <c r="P22" s="13"/>
      <c r="Q22" s="13"/>
      <c r="R22" s="13"/>
      <c r="S22" s="13"/>
    </row>
    <row r="23" spans="1:19" x14ac:dyDescent="0.25">
      <c r="A23" s="13"/>
      <c r="B23" s="13"/>
      <c r="C23" s="15"/>
      <c r="D23" s="15"/>
      <c r="E23" s="15"/>
      <c r="F23" s="13"/>
      <c r="G23" s="15"/>
      <c r="H23" s="13"/>
      <c r="I23" s="15"/>
      <c r="J23" s="13"/>
      <c r="K23" s="15"/>
      <c r="L23" s="15"/>
      <c r="M23" s="15"/>
      <c r="N23" s="15"/>
      <c r="O23" s="13"/>
      <c r="P23" s="13"/>
      <c r="Q23" s="13"/>
      <c r="R23" s="13"/>
      <c r="S23" s="13"/>
    </row>
    <row r="24" spans="1:19" x14ac:dyDescent="0.25">
      <c r="A24" s="13"/>
      <c r="B24" s="13"/>
      <c r="C24" s="15"/>
      <c r="D24" s="15"/>
      <c r="E24" s="15"/>
      <c r="F24" s="13"/>
      <c r="G24" s="15"/>
      <c r="H24" s="13"/>
      <c r="I24" s="15"/>
      <c r="J24" s="13"/>
      <c r="K24" s="15"/>
      <c r="L24" s="15"/>
      <c r="M24" s="15"/>
      <c r="N24" s="15"/>
      <c r="O24" s="13"/>
      <c r="P24" s="13"/>
      <c r="Q24" s="13"/>
      <c r="R24" s="13"/>
      <c r="S24" s="13"/>
    </row>
    <row r="25" spans="1:19" x14ac:dyDescent="0.25">
      <c r="A25" s="13"/>
      <c r="B25" s="13"/>
      <c r="C25" s="15"/>
      <c r="D25" s="15"/>
      <c r="E25" s="15"/>
      <c r="F25" s="13"/>
      <c r="G25" s="15"/>
      <c r="H25" s="13"/>
      <c r="I25" s="15"/>
      <c r="J25" s="13"/>
      <c r="K25" s="15"/>
      <c r="L25" s="15"/>
      <c r="M25" s="15"/>
      <c r="N25" s="15"/>
      <c r="O25" s="13"/>
      <c r="P25" s="13"/>
      <c r="Q25" s="13"/>
      <c r="R25" s="13"/>
      <c r="S25" s="13"/>
    </row>
    <row r="26" spans="1:19" x14ac:dyDescent="0.25">
      <c r="A26" s="13"/>
      <c r="B26" s="13"/>
      <c r="C26" s="15"/>
      <c r="D26" s="15"/>
      <c r="E26" s="15"/>
      <c r="F26" s="13"/>
      <c r="G26" s="15"/>
      <c r="H26" s="13"/>
      <c r="I26" s="15"/>
      <c r="J26" s="13"/>
      <c r="K26" s="15"/>
      <c r="L26" s="15"/>
      <c r="M26" s="15"/>
      <c r="N26" s="15"/>
      <c r="O26" s="13"/>
      <c r="P26" s="13"/>
      <c r="Q26" s="13"/>
      <c r="R26" s="13"/>
      <c r="S26" s="13"/>
    </row>
    <row r="27" spans="1:19" x14ac:dyDescent="0.25">
      <c r="A27" s="13"/>
      <c r="B27" s="13"/>
      <c r="C27" s="15"/>
      <c r="D27" s="15"/>
      <c r="E27" s="15"/>
      <c r="F27" s="13"/>
      <c r="G27" s="15"/>
      <c r="H27" s="13"/>
      <c r="I27" s="15"/>
      <c r="J27" s="13"/>
      <c r="K27" s="15"/>
      <c r="L27" s="15"/>
      <c r="M27" s="15"/>
      <c r="N27" s="15"/>
      <c r="O27" s="13"/>
      <c r="P27" s="13"/>
      <c r="Q27" s="13"/>
      <c r="R27" s="13"/>
      <c r="S27" s="13"/>
    </row>
    <row r="28" spans="1:19" x14ac:dyDescent="0.25">
      <c r="A28" s="13"/>
      <c r="B28" s="13"/>
      <c r="C28" s="15"/>
      <c r="D28" s="15"/>
      <c r="E28" s="15"/>
      <c r="F28" s="13"/>
      <c r="G28" s="15"/>
      <c r="H28" s="13"/>
      <c r="I28" s="15"/>
      <c r="J28" s="13"/>
      <c r="K28" s="15"/>
      <c r="L28" s="15"/>
      <c r="M28" s="15"/>
      <c r="N28" s="15"/>
      <c r="O28" s="13"/>
      <c r="P28" s="13"/>
      <c r="Q28" s="13"/>
      <c r="R28" s="13"/>
      <c r="S28" s="13"/>
    </row>
    <row r="29" spans="1:19" x14ac:dyDescent="0.25">
      <c r="A29" s="13"/>
      <c r="B29" s="13"/>
      <c r="C29" s="15"/>
      <c r="D29" s="15"/>
      <c r="E29" s="15"/>
      <c r="F29" s="13"/>
      <c r="G29" s="15"/>
      <c r="H29" s="13"/>
      <c r="I29" s="15"/>
      <c r="J29" s="13"/>
      <c r="K29" s="15"/>
      <c r="L29" s="15"/>
      <c r="M29" s="15"/>
      <c r="N29" s="15"/>
      <c r="O29" s="13"/>
      <c r="P29" s="13"/>
      <c r="Q29" s="13"/>
      <c r="R29" s="13"/>
      <c r="S29" s="13"/>
    </row>
    <row r="30" spans="1:19" x14ac:dyDescent="0.25">
      <c r="A30" s="13"/>
      <c r="B30" s="13"/>
      <c r="C30" s="15"/>
      <c r="D30" s="15"/>
      <c r="E30" s="15"/>
      <c r="F30" s="13"/>
      <c r="G30" s="15"/>
      <c r="H30" s="13"/>
      <c r="I30" s="15"/>
      <c r="J30" s="13"/>
      <c r="K30" s="15"/>
      <c r="L30" s="15"/>
      <c r="M30" s="15"/>
      <c r="N30" s="15"/>
      <c r="O30" s="13"/>
      <c r="P30" s="13"/>
      <c r="Q30" s="13"/>
      <c r="R30" s="13"/>
      <c r="S30" s="13"/>
    </row>
    <row r="31" spans="1:19" x14ac:dyDescent="0.25">
      <c r="A31" s="13"/>
      <c r="B31" s="13"/>
      <c r="C31" s="15"/>
      <c r="D31" s="15"/>
      <c r="E31" s="15"/>
      <c r="F31" s="13"/>
      <c r="G31" s="15"/>
      <c r="H31" s="13"/>
      <c r="I31" s="15"/>
      <c r="J31" s="13"/>
      <c r="K31" s="15"/>
      <c r="L31" s="15"/>
      <c r="M31" s="15"/>
      <c r="N31" s="15"/>
      <c r="O31" s="13"/>
      <c r="P31" s="13"/>
      <c r="Q31" s="13"/>
      <c r="R31" s="13"/>
      <c r="S31" s="13"/>
    </row>
    <row r="32" spans="1:19" x14ac:dyDescent="0.25">
      <c r="A32" s="13"/>
      <c r="B32" s="13"/>
      <c r="C32" s="15"/>
      <c r="D32" s="15"/>
      <c r="E32" s="15"/>
      <c r="F32" s="13"/>
      <c r="G32" s="15"/>
      <c r="H32" s="13"/>
      <c r="I32" s="15"/>
      <c r="J32" s="13"/>
      <c r="K32" s="15"/>
      <c r="L32" s="15"/>
      <c r="M32" s="15"/>
      <c r="N32" s="15"/>
      <c r="O32" s="13"/>
      <c r="P32" s="13"/>
      <c r="Q32" s="13"/>
      <c r="R32" s="13"/>
      <c r="S32" s="13"/>
    </row>
    <row r="33" spans="1:19" x14ac:dyDescent="0.25">
      <c r="A33" s="13"/>
      <c r="B33" s="13"/>
      <c r="C33" s="15"/>
      <c r="D33" s="15"/>
      <c r="E33" s="15"/>
      <c r="F33" s="13"/>
      <c r="G33" s="15"/>
      <c r="H33" s="13"/>
      <c r="I33" s="15"/>
      <c r="J33" s="13"/>
      <c r="K33" s="15"/>
      <c r="L33" s="15"/>
      <c r="M33" s="15"/>
      <c r="N33" s="15"/>
      <c r="O33" s="13"/>
      <c r="P33" s="13"/>
      <c r="Q33" s="13"/>
      <c r="R33" s="13"/>
      <c r="S33" s="13"/>
    </row>
    <row r="34" spans="1:19" x14ac:dyDescent="0.25">
      <c r="A34" s="13"/>
      <c r="B34" s="13"/>
      <c r="C34" s="15"/>
      <c r="D34" s="15"/>
      <c r="E34" s="15"/>
      <c r="F34" s="13"/>
      <c r="G34" s="15"/>
      <c r="H34" s="13"/>
      <c r="I34" s="15"/>
      <c r="J34" s="13"/>
      <c r="K34" s="15"/>
      <c r="L34" s="15"/>
      <c r="M34" s="15"/>
      <c r="N34" s="15"/>
      <c r="O34" s="13"/>
      <c r="P34" s="13"/>
      <c r="Q34" s="13"/>
      <c r="R34" s="13"/>
      <c r="S34" s="13"/>
    </row>
    <row r="35" spans="1:19" x14ac:dyDescent="0.25">
      <c r="A35" s="13"/>
      <c r="B35" s="13"/>
      <c r="C35" s="15"/>
      <c r="D35" s="15"/>
      <c r="E35" s="15"/>
      <c r="F35" s="13"/>
      <c r="G35" s="15"/>
      <c r="H35" s="13"/>
      <c r="I35" s="15"/>
      <c r="J35" s="13"/>
      <c r="K35" s="15"/>
      <c r="L35" s="15"/>
      <c r="M35" s="15"/>
      <c r="N35" s="15"/>
      <c r="O35" s="13"/>
      <c r="P35" s="13"/>
      <c r="Q35" s="13"/>
      <c r="R35" s="13"/>
      <c r="S35" s="13"/>
    </row>
    <row r="36" spans="1:19" x14ac:dyDescent="0.25">
      <c r="A36" s="13"/>
      <c r="B36" s="13"/>
      <c r="C36" s="15"/>
      <c r="D36" s="15"/>
      <c r="E36" s="15"/>
      <c r="F36" s="13"/>
      <c r="G36" s="15"/>
      <c r="H36" s="13"/>
      <c r="I36" s="15"/>
      <c r="J36" s="13"/>
      <c r="K36" s="15"/>
      <c r="L36" s="15"/>
      <c r="M36" s="15"/>
      <c r="N36" s="15"/>
      <c r="O36" s="13"/>
      <c r="P36" s="13"/>
      <c r="Q36" s="13"/>
      <c r="R36" s="13"/>
      <c r="S36" s="13"/>
    </row>
    <row r="37" spans="1:19" x14ac:dyDescent="0.25">
      <c r="A37" s="13"/>
      <c r="B37" s="13"/>
      <c r="C37" s="15"/>
      <c r="D37" s="15"/>
      <c r="E37" s="15"/>
      <c r="F37" s="13"/>
      <c r="G37" s="15"/>
      <c r="H37" s="13"/>
      <c r="I37" s="15"/>
      <c r="J37" s="13"/>
      <c r="K37" s="15"/>
      <c r="L37" s="15"/>
      <c r="M37" s="15"/>
      <c r="N37" s="15"/>
      <c r="O37" s="13"/>
      <c r="P37" s="13"/>
      <c r="Q37" s="13"/>
      <c r="R37" s="13"/>
      <c r="S37" s="13"/>
    </row>
    <row r="38" spans="1:19" x14ac:dyDescent="0.25">
      <c r="A38" s="13"/>
      <c r="B38" s="13"/>
      <c r="C38" s="15"/>
      <c r="D38" s="15"/>
      <c r="E38" s="15"/>
      <c r="F38" s="13"/>
      <c r="G38" s="15"/>
      <c r="H38" s="13"/>
      <c r="I38" s="15"/>
      <c r="J38" s="13"/>
      <c r="K38" s="15"/>
      <c r="L38" s="15"/>
      <c r="M38" s="15"/>
      <c r="N38" s="15"/>
      <c r="O38" s="13"/>
      <c r="P38" s="13"/>
      <c r="Q38" s="13"/>
      <c r="R38" s="13"/>
      <c r="S38" s="13"/>
    </row>
    <row r="39" spans="1:19" x14ac:dyDescent="0.25">
      <c r="A39" s="13"/>
      <c r="B39" s="13"/>
      <c r="C39" s="15"/>
      <c r="D39" s="15"/>
      <c r="E39" s="15"/>
      <c r="F39" s="13"/>
      <c r="G39" s="15"/>
      <c r="H39" s="13"/>
      <c r="I39" s="15"/>
      <c r="J39" s="13"/>
      <c r="K39" s="15"/>
      <c r="L39" s="15"/>
      <c r="M39" s="15"/>
      <c r="N39" s="15"/>
      <c r="O39" s="13"/>
      <c r="P39" s="13"/>
      <c r="Q39" s="13"/>
      <c r="R39" s="13"/>
      <c r="S39" s="13"/>
    </row>
    <row r="40" spans="1:19" x14ac:dyDescent="0.25">
      <c r="A40" s="13"/>
      <c r="B40" s="13"/>
      <c r="C40" s="15"/>
      <c r="D40" s="15"/>
      <c r="E40" s="15"/>
      <c r="F40" s="13"/>
      <c r="G40" s="15"/>
      <c r="H40" s="13"/>
      <c r="I40" s="15"/>
      <c r="J40" s="13"/>
      <c r="K40" s="15"/>
      <c r="L40" s="15"/>
      <c r="M40" s="15"/>
      <c r="N40" s="15"/>
      <c r="O40" s="13"/>
      <c r="P40" s="13"/>
      <c r="Q40" s="13"/>
      <c r="R40" s="13"/>
      <c r="S40" s="13"/>
    </row>
    <row r="41" spans="1:19" x14ac:dyDescent="0.25">
      <c r="A41" s="13"/>
      <c r="B41" s="13"/>
      <c r="C41" s="15"/>
      <c r="D41" s="15"/>
      <c r="E41" s="15"/>
      <c r="F41" s="13"/>
      <c r="G41" s="15"/>
      <c r="H41" s="13"/>
      <c r="I41" s="15"/>
      <c r="J41" s="13"/>
      <c r="K41" s="15"/>
      <c r="L41" s="15"/>
      <c r="M41" s="15"/>
      <c r="N41" s="15"/>
      <c r="O41" s="13"/>
      <c r="P41" s="13"/>
      <c r="Q41" s="13"/>
      <c r="R41" s="13"/>
      <c r="S41" s="13"/>
    </row>
    <row r="42" spans="1:19" x14ac:dyDescent="0.25">
      <c r="A42" s="13"/>
      <c r="B42" s="13"/>
      <c r="C42" s="15"/>
      <c r="D42" s="15"/>
      <c r="E42" s="15"/>
      <c r="F42" s="13"/>
      <c r="G42" s="15"/>
      <c r="H42" s="13"/>
      <c r="I42" s="15"/>
      <c r="J42" s="13"/>
      <c r="K42" s="15"/>
      <c r="L42" s="15"/>
      <c r="M42" s="15"/>
      <c r="N42" s="15"/>
      <c r="O42" s="13"/>
      <c r="P42" s="13"/>
      <c r="Q42" s="13"/>
      <c r="R42" s="13"/>
      <c r="S42" s="13"/>
    </row>
    <row r="43" spans="1:19" x14ac:dyDescent="0.25">
      <c r="A43" s="13"/>
      <c r="B43" s="13"/>
      <c r="C43" s="15"/>
      <c r="D43" s="15"/>
      <c r="E43" s="15"/>
      <c r="F43" s="13"/>
      <c r="G43" s="15"/>
      <c r="H43" s="13"/>
      <c r="I43" s="15"/>
      <c r="J43" s="13"/>
      <c r="K43" s="15"/>
      <c r="L43" s="15"/>
      <c r="M43" s="15"/>
      <c r="N43" s="15"/>
      <c r="O43" s="13"/>
      <c r="P43" s="13"/>
      <c r="Q43" s="13"/>
      <c r="R43" s="13"/>
      <c r="S43" s="13"/>
    </row>
    <row r="44" spans="1:19" x14ac:dyDescent="0.25">
      <c r="A44" s="13"/>
      <c r="B44" s="13"/>
      <c r="C44" s="15"/>
      <c r="D44" s="15"/>
      <c r="E44" s="15"/>
      <c r="F44" s="13"/>
      <c r="G44" s="15"/>
      <c r="H44" s="13"/>
      <c r="I44" s="15"/>
      <c r="J44" s="13"/>
      <c r="K44" s="15"/>
      <c r="L44" s="15"/>
      <c r="M44" s="15"/>
      <c r="N44" s="15"/>
      <c r="O44" s="13"/>
      <c r="P44" s="13"/>
      <c r="Q44" s="13"/>
      <c r="R44" s="13"/>
      <c r="S44" s="13"/>
    </row>
    <row r="45" spans="1:19" x14ac:dyDescent="0.25">
      <c r="A45" s="13"/>
      <c r="B45" s="13"/>
      <c r="C45" s="15"/>
      <c r="D45" s="15"/>
      <c r="E45" s="15"/>
      <c r="F45" s="13"/>
      <c r="G45" s="15"/>
      <c r="H45" s="13"/>
      <c r="I45" s="15"/>
      <c r="J45" s="13"/>
      <c r="K45" s="15"/>
      <c r="L45" s="15"/>
      <c r="M45" s="15"/>
      <c r="N45" s="15"/>
      <c r="O45" s="13"/>
      <c r="P45" s="13"/>
      <c r="Q45" s="13"/>
      <c r="R45" s="13"/>
      <c r="S45" s="13"/>
    </row>
    <row r="46" spans="1:19" x14ac:dyDescent="0.25">
      <c r="A46" s="13"/>
      <c r="B46" s="13"/>
      <c r="C46" s="15"/>
      <c r="D46" s="15"/>
      <c r="E46" s="15"/>
      <c r="F46" s="13"/>
      <c r="G46" s="15"/>
      <c r="H46" s="13"/>
      <c r="I46" s="15"/>
      <c r="J46" s="13"/>
      <c r="K46" s="15"/>
      <c r="L46" s="15"/>
      <c r="M46" s="15"/>
      <c r="N46" s="15"/>
      <c r="O46" s="13"/>
      <c r="P46" s="13"/>
      <c r="Q46" s="13"/>
      <c r="R46" s="13"/>
      <c r="S46" s="13"/>
    </row>
    <row r="47" spans="1:19" x14ac:dyDescent="0.25">
      <c r="A47" s="13"/>
      <c r="B47" s="13"/>
      <c r="C47" s="15"/>
      <c r="D47" s="15"/>
      <c r="E47" s="15"/>
      <c r="F47" s="13"/>
      <c r="G47" s="15"/>
      <c r="H47" s="13"/>
      <c r="I47" s="15"/>
      <c r="J47" s="13"/>
      <c r="K47" s="15"/>
      <c r="L47" s="15"/>
      <c r="M47" s="15"/>
      <c r="N47" s="15"/>
      <c r="O47" s="13"/>
      <c r="P47" s="13"/>
      <c r="Q47" s="13"/>
      <c r="R47" s="13"/>
      <c r="S47" s="13"/>
    </row>
    <row r="48" spans="1:19" x14ac:dyDescent="0.25">
      <c r="A48" s="13"/>
      <c r="B48" s="13"/>
      <c r="C48" s="15"/>
      <c r="D48" s="15"/>
      <c r="E48" s="15"/>
      <c r="F48" s="13"/>
      <c r="G48" s="15"/>
      <c r="H48" s="13"/>
      <c r="I48" s="15"/>
      <c r="J48" s="13"/>
      <c r="K48" s="15"/>
      <c r="L48" s="15"/>
      <c r="M48" s="15"/>
      <c r="N48" s="15"/>
      <c r="O48" s="13"/>
      <c r="P48" s="13"/>
      <c r="Q48" s="13"/>
      <c r="R48" s="13"/>
      <c r="S48" s="13"/>
    </row>
    <row r="49" spans="1:19" x14ac:dyDescent="0.25">
      <c r="A49" s="13"/>
      <c r="B49" s="13"/>
      <c r="C49" s="15"/>
      <c r="D49" s="15"/>
      <c r="E49" s="15"/>
      <c r="F49" s="13"/>
      <c r="G49" s="15"/>
      <c r="H49" s="13"/>
      <c r="I49" s="15"/>
      <c r="J49" s="13"/>
      <c r="K49" s="15"/>
      <c r="L49" s="15"/>
      <c r="M49" s="15"/>
      <c r="N49" s="15"/>
      <c r="O49" s="13"/>
      <c r="P49" s="13"/>
      <c r="Q49" s="13"/>
      <c r="R49" s="13"/>
      <c r="S49" s="13"/>
    </row>
    <row r="50" spans="1:19" x14ac:dyDescent="0.25">
      <c r="A50" s="13"/>
      <c r="B50" s="13"/>
      <c r="C50" s="15"/>
      <c r="D50" s="15"/>
      <c r="E50" s="15"/>
      <c r="F50" s="13"/>
      <c r="G50" s="15"/>
      <c r="H50" s="13"/>
      <c r="I50" s="15"/>
      <c r="J50" s="13"/>
      <c r="K50" s="15"/>
      <c r="L50" s="15"/>
      <c r="M50" s="15"/>
      <c r="N50" s="15"/>
      <c r="O50" s="13"/>
      <c r="P50" s="13"/>
      <c r="Q50" s="13"/>
      <c r="R50" s="13"/>
      <c r="S50" s="13"/>
    </row>
    <row r="51" spans="1:19" x14ac:dyDescent="0.25">
      <c r="A51" s="13"/>
      <c r="B51" s="13"/>
      <c r="C51" s="15"/>
      <c r="D51" s="15"/>
      <c r="E51" s="15"/>
      <c r="F51" s="13"/>
      <c r="G51" s="15"/>
      <c r="H51" s="13"/>
      <c r="I51" s="15"/>
      <c r="J51" s="13"/>
      <c r="K51" s="15"/>
      <c r="L51" s="15"/>
      <c r="M51" s="15"/>
      <c r="N51" s="15"/>
      <c r="O51" s="13"/>
      <c r="P51" s="13"/>
      <c r="Q51" s="13"/>
      <c r="R51" s="13"/>
      <c r="S51" s="13"/>
    </row>
    <row r="52" spans="1:19" x14ac:dyDescent="0.25">
      <c r="A52" s="13"/>
      <c r="B52" s="13"/>
      <c r="C52" s="15"/>
      <c r="D52" s="15"/>
      <c r="E52" s="15"/>
      <c r="F52" s="13"/>
      <c r="G52" s="15"/>
      <c r="H52" s="13"/>
      <c r="I52" s="15"/>
      <c r="J52" s="13"/>
      <c r="K52" s="15"/>
      <c r="L52" s="15"/>
      <c r="M52" s="15"/>
      <c r="N52" s="15"/>
      <c r="O52" s="13"/>
      <c r="P52" s="13"/>
      <c r="Q52" s="13"/>
      <c r="R52" s="13"/>
      <c r="S52" s="13"/>
    </row>
    <row r="53" spans="1:19" x14ac:dyDescent="0.25">
      <c r="A53" s="13"/>
      <c r="B53" s="13"/>
      <c r="C53" s="15"/>
      <c r="D53" s="15"/>
      <c r="E53" s="15"/>
      <c r="F53" s="13"/>
      <c r="G53" s="15"/>
      <c r="H53" s="13"/>
      <c r="I53" s="15"/>
      <c r="J53" s="13"/>
      <c r="K53" s="15"/>
      <c r="L53" s="15"/>
      <c r="M53" s="15"/>
      <c r="N53" s="15"/>
      <c r="O53" s="13"/>
      <c r="P53" s="13"/>
      <c r="Q53" s="13"/>
      <c r="R53" s="13"/>
      <c r="S53" s="13"/>
    </row>
    <row r="54" spans="1:19" x14ac:dyDescent="0.25">
      <c r="A54" s="13"/>
      <c r="B54" s="13"/>
      <c r="C54" s="15"/>
      <c r="D54" s="15"/>
      <c r="E54" s="15"/>
      <c r="F54" s="13"/>
      <c r="G54" s="15"/>
      <c r="H54" s="13"/>
      <c r="I54" s="15"/>
      <c r="J54" s="13"/>
      <c r="K54" s="15"/>
      <c r="L54" s="15"/>
      <c r="M54" s="15"/>
      <c r="N54" s="15"/>
      <c r="O54" s="13"/>
      <c r="P54" s="13"/>
      <c r="Q54" s="13"/>
      <c r="R54" s="13"/>
      <c r="S54" s="13"/>
    </row>
    <row r="55" spans="1:19" x14ac:dyDescent="0.25">
      <c r="A55" s="13"/>
      <c r="B55" s="13"/>
      <c r="C55" s="15"/>
      <c r="D55" s="15"/>
      <c r="E55" s="15"/>
      <c r="F55" s="13"/>
      <c r="G55" s="15"/>
      <c r="H55" s="13"/>
      <c r="I55" s="15"/>
      <c r="J55" s="13"/>
      <c r="K55" s="15"/>
      <c r="L55" s="15"/>
      <c r="M55" s="15"/>
      <c r="N55" s="15"/>
      <c r="O55" s="13"/>
      <c r="P55" s="13"/>
      <c r="Q55" s="13"/>
      <c r="R55" s="13"/>
      <c r="S55" s="13"/>
    </row>
    <row r="56" spans="1:19" x14ac:dyDescent="0.25">
      <c r="A56" s="13"/>
      <c r="B56" s="13"/>
      <c r="C56" s="15"/>
      <c r="D56" s="15"/>
      <c r="E56" s="15"/>
      <c r="F56" s="13"/>
      <c r="G56" s="15"/>
      <c r="H56" s="13"/>
      <c r="I56" s="15"/>
      <c r="J56" s="13"/>
      <c r="K56" s="15"/>
      <c r="L56" s="15"/>
      <c r="M56" s="15"/>
      <c r="N56" s="15"/>
      <c r="O56" s="13"/>
      <c r="P56" s="13"/>
      <c r="Q56" s="13"/>
      <c r="R56" s="13"/>
      <c r="S56" s="13"/>
    </row>
    <row r="57" spans="1:19" x14ac:dyDescent="0.25">
      <c r="A57" s="13"/>
      <c r="B57" s="13"/>
      <c r="C57" s="15"/>
      <c r="D57" s="15"/>
      <c r="E57" s="15"/>
      <c r="F57" s="13"/>
      <c r="G57" s="15"/>
      <c r="H57" s="13"/>
      <c r="I57" s="15"/>
      <c r="J57" s="13"/>
      <c r="K57" s="15"/>
      <c r="L57" s="15"/>
      <c r="M57" s="15"/>
      <c r="N57" s="15"/>
      <c r="O57" s="13"/>
      <c r="P57" s="13"/>
      <c r="Q57" s="13"/>
      <c r="R57" s="13"/>
      <c r="S57" s="13"/>
    </row>
    <row r="58" spans="1:19" x14ac:dyDescent="0.25">
      <c r="A58" s="13"/>
      <c r="B58" s="13"/>
      <c r="C58" s="15"/>
      <c r="D58" s="15"/>
      <c r="E58" s="15"/>
      <c r="F58" s="13"/>
      <c r="G58" s="15"/>
      <c r="H58" s="13"/>
      <c r="I58" s="15"/>
      <c r="J58" s="13"/>
      <c r="K58" s="15"/>
      <c r="L58" s="15"/>
      <c r="M58" s="15"/>
      <c r="N58" s="15"/>
      <c r="O58" s="13"/>
      <c r="P58" s="13"/>
      <c r="Q58" s="13"/>
      <c r="R58" s="13"/>
      <c r="S58" s="13"/>
    </row>
    <row r="59" spans="1:19" x14ac:dyDescent="0.25">
      <c r="A59" s="13"/>
      <c r="B59" s="13"/>
      <c r="C59" s="15"/>
      <c r="D59" s="15"/>
      <c r="E59" s="15"/>
      <c r="F59" s="13"/>
      <c r="G59" s="15"/>
      <c r="H59" s="13"/>
      <c r="I59" s="15"/>
      <c r="J59" s="13"/>
      <c r="K59" s="15"/>
      <c r="L59" s="15"/>
      <c r="M59" s="15"/>
      <c r="N59" s="15"/>
      <c r="O59" s="13"/>
      <c r="P59" s="13"/>
      <c r="Q59" s="13"/>
      <c r="R59" s="13"/>
      <c r="S59" s="13"/>
    </row>
    <row r="60" spans="1:19" x14ac:dyDescent="0.25">
      <c r="A60" s="13"/>
      <c r="B60" s="13"/>
      <c r="C60" s="15"/>
      <c r="D60" s="15"/>
      <c r="E60" s="15"/>
      <c r="F60" s="13"/>
      <c r="G60" s="15"/>
      <c r="H60" s="13"/>
      <c r="I60" s="15"/>
      <c r="J60" s="13"/>
      <c r="K60" s="15"/>
      <c r="L60" s="15"/>
      <c r="M60" s="15"/>
      <c r="N60" s="15"/>
      <c r="O60" s="13"/>
      <c r="P60" s="13"/>
      <c r="Q60" s="13"/>
      <c r="R60" s="13"/>
      <c r="S60" s="13"/>
    </row>
    <row r="61" spans="1:19" x14ac:dyDescent="0.25">
      <c r="A61" s="13"/>
      <c r="B61" s="13"/>
      <c r="C61" s="15"/>
      <c r="D61" s="15"/>
      <c r="E61" s="15"/>
      <c r="F61" s="13"/>
      <c r="G61" s="15"/>
      <c r="H61" s="13"/>
      <c r="I61" s="15"/>
      <c r="J61" s="13"/>
      <c r="K61" s="15"/>
      <c r="L61" s="15"/>
      <c r="M61" s="15"/>
      <c r="N61" s="15"/>
      <c r="O61" s="13"/>
      <c r="P61" s="13"/>
      <c r="Q61" s="13"/>
      <c r="R61" s="13"/>
      <c r="S61" s="13"/>
    </row>
    <row r="62" spans="1:19" x14ac:dyDescent="0.25">
      <c r="A62" s="13"/>
      <c r="B62" s="13"/>
      <c r="C62" s="15"/>
      <c r="D62" s="15"/>
      <c r="E62" s="15"/>
      <c r="F62" s="13"/>
      <c r="G62" s="15"/>
      <c r="H62" s="13"/>
      <c r="I62" s="15"/>
      <c r="J62" s="13"/>
      <c r="K62" s="15"/>
      <c r="L62" s="15"/>
      <c r="M62" s="15"/>
      <c r="N62" s="15"/>
      <c r="O62" s="13"/>
      <c r="P62" s="13"/>
      <c r="Q62" s="13"/>
      <c r="R62" s="13"/>
      <c r="S62" s="13"/>
    </row>
    <row r="63" spans="1:19" x14ac:dyDescent="0.25">
      <c r="A63" s="13"/>
      <c r="B63" s="13"/>
      <c r="C63" s="15"/>
      <c r="D63" s="15"/>
      <c r="E63" s="15"/>
      <c r="F63" s="13"/>
      <c r="G63" s="15"/>
      <c r="H63" s="13"/>
      <c r="I63" s="15"/>
      <c r="J63" s="13"/>
      <c r="K63" s="15"/>
      <c r="L63" s="15"/>
      <c r="M63" s="15"/>
      <c r="N63" s="15"/>
      <c r="O63" s="13"/>
      <c r="P63" s="13"/>
      <c r="Q63" s="13"/>
      <c r="R63" s="13"/>
      <c r="S63" s="13"/>
    </row>
    <row r="64" spans="1:19" x14ac:dyDescent="0.25">
      <c r="A64" s="13"/>
      <c r="B64" s="13"/>
      <c r="C64" s="15"/>
      <c r="D64" s="15"/>
      <c r="E64" s="15"/>
      <c r="F64" s="13"/>
      <c r="G64" s="15"/>
      <c r="H64" s="13"/>
      <c r="I64" s="15"/>
      <c r="J64" s="13"/>
      <c r="K64" s="15"/>
      <c r="L64" s="15"/>
      <c r="M64" s="15"/>
      <c r="N64" s="15"/>
      <c r="O64" s="13"/>
      <c r="P64" s="13"/>
      <c r="Q64" s="13"/>
      <c r="R64" s="13"/>
      <c r="S64" s="13"/>
    </row>
    <row r="65" spans="1:19" x14ac:dyDescent="0.25">
      <c r="A65" s="13"/>
      <c r="B65" s="13"/>
      <c r="C65" s="15"/>
      <c r="D65" s="15"/>
      <c r="E65" s="15"/>
      <c r="F65" s="13"/>
      <c r="G65" s="15"/>
      <c r="H65" s="13"/>
      <c r="I65" s="15"/>
      <c r="J65" s="13"/>
      <c r="K65" s="15"/>
      <c r="L65" s="15"/>
      <c r="M65" s="15"/>
      <c r="N65" s="15"/>
      <c r="O65" s="13"/>
      <c r="P65" s="13"/>
      <c r="Q65" s="13"/>
      <c r="R65" s="13"/>
      <c r="S65" s="13"/>
    </row>
    <row r="66" spans="1:19" x14ac:dyDescent="0.25">
      <c r="A66" s="13"/>
      <c r="B66" s="13"/>
      <c r="C66" s="15"/>
      <c r="D66" s="15"/>
      <c r="E66" s="15"/>
      <c r="F66" s="13"/>
      <c r="G66" s="15"/>
      <c r="H66" s="13"/>
      <c r="I66" s="15"/>
      <c r="J66" s="13"/>
      <c r="K66" s="15"/>
      <c r="L66" s="15"/>
      <c r="M66" s="15"/>
      <c r="N66" s="15"/>
      <c r="O66" s="13"/>
      <c r="P66" s="13"/>
      <c r="Q66" s="13"/>
      <c r="R66" s="13"/>
      <c r="S66" s="13"/>
    </row>
    <row r="67" spans="1:19" x14ac:dyDescent="0.25">
      <c r="A67" s="13"/>
      <c r="B67" s="13"/>
      <c r="C67" s="15"/>
      <c r="D67" s="15"/>
      <c r="E67" s="15"/>
      <c r="F67" s="13"/>
      <c r="G67" s="15"/>
      <c r="H67" s="13"/>
      <c r="I67" s="15"/>
      <c r="J67" s="13"/>
      <c r="K67" s="15"/>
      <c r="L67" s="15"/>
      <c r="M67" s="15"/>
      <c r="N67" s="15"/>
      <c r="O67" s="13"/>
      <c r="P67" s="13"/>
      <c r="Q67" s="13"/>
      <c r="R67" s="13"/>
      <c r="S67" s="13"/>
    </row>
    <row r="68" spans="1:19" x14ac:dyDescent="0.25">
      <c r="A68" s="13"/>
      <c r="B68" s="13"/>
      <c r="C68" s="15"/>
      <c r="D68" s="15"/>
      <c r="E68" s="15"/>
      <c r="F68" s="13"/>
      <c r="G68" s="15"/>
      <c r="H68" s="13"/>
      <c r="I68" s="15"/>
      <c r="J68" s="13"/>
      <c r="K68" s="15"/>
      <c r="L68" s="15"/>
      <c r="M68" s="15"/>
      <c r="N68" s="15"/>
      <c r="O68" s="13"/>
      <c r="P68" s="13"/>
      <c r="Q68" s="13"/>
      <c r="R68" s="13"/>
      <c r="S68" s="13"/>
    </row>
    <row r="69" spans="1:19" x14ac:dyDescent="0.25">
      <c r="A69" s="13"/>
      <c r="B69" s="13"/>
      <c r="C69" s="15"/>
      <c r="D69" s="15"/>
      <c r="E69" s="15"/>
      <c r="F69" s="13"/>
      <c r="G69" s="15"/>
      <c r="H69" s="13"/>
      <c r="I69" s="15"/>
      <c r="J69" s="13"/>
      <c r="K69" s="15"/>
      <c r="L69" s="15"/>
      <c r="M69" s="15"/>
      <c r="N69" s="15"/>
      <c r="O69" s="13"/>
      <c r="P69" s="13"/>
      <c r="Q69" s="13"/>
      <c r="R69" s="13"/>
      <c r="S69" s="13"/>
    </row>
    <row r="70" spans="1:19" x14ac:dyDescent="0.25">
      <c r="A70" s="13"/>
      <c r="B70" s="13"/>
      <c r="C70" s="15"/>
      <c r="D70" s="15"/>
      <c r="E70" s="15"/>
      <c r="F70" s="13"/>
      <c r="G70" s="15"/>
      <c r="H70" s="13"/>
      <c r="I70" s="15"/>
      <c r="J70" s="13"/>
      <c r="K70" s="15"/>
      <c r="L70" s="15"/>
      <c r="M70" s="15"/>
      <c r="N70" s="15"/>
      <c r="O70" s="13"/>
      <c r="P70" s="13"/>
      <c r="Q70" s="13"/>
      <c r="R70" s="13"/>
      <c r="S70" s="13"/>
    </row>
    <row r="71" spans="1:19" x14ac:dyDescent="0.25">
      <c r="A71" s="13"/>
      <c r="B71" s="13"/>
      <c r="C71" s="15"/>
      <c r="D71" s="15"/>
      <c r="E71" s="15"/>
      <c r="F71" s="13"/>
      <c r="G71" s="15"/>
      <c r="H71" s="13"/>
      <c r="I71" s="15"/>
      <c r="J71" s="13"/>
      <c r="K71" s="15"/>
      <c r="L71" s="15"/>
      <c r="M71" s="15"/>
      <c r="N71" s="15"/>
      <c r="O71" s="13"/>
      <c r="P71" s="13"/>
      <c r="Q71" s="13"/>
      <c r="R71" s="13"/>
      <c r="S71" s="13"/>
    </row>
    <row r="72" spans="1:19" x14ac:dyDescent="0.25">
      <c r="A72" s="13"/>
      <c r="B72" s="13"/>
      <c r="C72" s="15"/>
      <c r="D72" s="15"/>
      <c r="E72" s="15"/>
      <c r="F72" s="13"/>
      <c r="G72" s="15"/>
      <c r="H72" s="13"/>
      <c r="I72" s="15"/>
      <c r="J72" s="13"/>
      <c r="K72" s="15"/>
      <c r="L72" s="15"/>
      <c r="M72" s="15"/>
      <c r="N72" s="15"/>
      <c r="O72" s="13"/>
      <c r="P72" s="13"/>
      <c r="Q72" s="13"/>
      <c r="R72" s="13"/>
      <c r="S72" s="13"/>
    </row>
    <row r="73" spans="1:19" x14ac:dyDescent="0.25">
      <c r="A73" s="13"/>
      <c r="B73" s="13"/>
      <c r="C73" s="15"/>
      <c r="D73" s="15"/>
      <c r="E73" s="15"/>
      <c r="F73" s="13"/>
      <c r="G73" s="15"/>
      <c r="H73" s="13"/>
      <c r="I73" s="15"/>
      <c r="J73" s="13"/>
      <c r="K73" s="15"/>
      <c r="L73" s="15"/>
      <c r="M73" s="15"/>
      <c r="N73" s="15"/>
      <c r="O73" s="13"/>
      <c r="P73" s="13"/>
      <c r="Q73" s="13"/>
      <c r="R73" s="13"/>
      <c r="S73" s="13"/>
    </row>
    <row r="74" spans="1:19" x14ac:dyDescent="0.25">
      <c r="A74" s="13"/>
      <c r="B74" s="13"/>
      <c r="C74" s="15"/>
      <c r="D74" s="15"/>
      <c r="E74" s="15"/>
      <c r="F74" s="13"/>
      <c r="G74" s="15"/>
      <c r="H74" s="13"/>
      <c r="I74" s="15"/>
      <c r="J74" s="13"/>
      <c r="K74" s="15"/>
      <c r="L74" s="15"/>
      <c r="M74" s="15"/>
      <c r="N74" s="15"/>
      <c r="O74" s="13"/>
      <c r="P74" s="13"/>
      <c r="Q74" s="13"/>
      <c r="R74" s="13"/>
      <c r="S74" s="13"/>
    </row>
    <row r="75" spans="1:19" x14ac:dyDescent="0.25">
      <c r="A75" s="13"/>
      <c r="B75" s="13"/>
      <c r="C75" s="15"/>
      <c r="D75" s="15"/>
      <c r="E75" s="15"/>
      <c r="F75" s="13"/>
      <c r="G75" s="15"/>
      <c r="H75" s="13"/>
      <c r="I75" s="15"/>
      <c r="J75" s="13"/>
      <c r="K75" s="15"/>
      <c r="L75" s="15"/>
      <c r="M75" s="15"/>
      <c r="N75" s="15"/>
      <c r="O75" s="13"/>
      <c r="P75" s="13"/>
      <c r="Q75" s="13"/>
      <c r="R75" s="13"/>
      <c r="S75" s="13"/>
    </row>
  </sheetData>
  <autoFilter ref="A4:S75" xr:uid="{00000000-0009-0000-0000-000004000000}"/>
  <mergeCells count="7">
    <mergeCell ref="A1:S1"/>
    <mergeCell ref="A2:S2"/>
    <mergeCell ref="A3:B3"/>
    <mergeCell ref="C3:F3"/>
    <mergeCell ref="G3:K3"/>
    <mergeCell ref="L3:O3"/>
    <mergeCell ref="Q3:R3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Valor no válido" error="Seleccione un valor de la lista." xr:uid="{00000000-0002-0000-0400-000000000000}">
          <x14:formula1>
            <xm:f>Listas!$E$2:$E$6</xm:f>
          </x14:formula1>
          <x14:formula2>
            <xm:f>0</xm:f>
          </x14:formula2>
          <xm:sqref>A5:A75</xm:sqref>
        </x14:dataValidation>
        <x14:dataValidation type="list" allowBlank="1" errorTitle="Valor no válido" error="Seleccione un valor de la lista." xr:uid="{00000000-0002-0000-0400-000001000000}">
          <x14:formula1>
            <xm:f>Listas!$A$2:$A$3</xm:f>
          </x14:formula1>
          <x14:formula2>
            <xm:f>0</xm:f>
          </x14:formula2>
          <xm:sqref>F5:F75 P5:R75 J5:J75</xm:sqref>
        </x14:dataValidation>
        <x14:dataValidation type="list" allowBlank="1" errorTitle="Valor no válido" error="Seleccione un valor de la lista." xr:uid="{00000000-0002-0000-0400-000002000000}">
          <x14:formula1>
            <xm:f>Listas!$J$2:$J$5</xm:f>
          </x14:formula1>
          <x14:formula2>
            <xm:f>0</xm:f>
          </x14:formula2>
          <xm:sqref>H6:H75</xm:sqref>
        </x14:dataValidation>
        <x14:dataValidation type="list" allowBlank="1" errorTitle="Valor no válido" error="Seleccione un valor de la lista." xr:uid="{00000000-0002-0000-0400-000004000000}">
          <x14:formula1>
            <xm:f>Listas!$K$2:$K$5</xm:f>
          </x14:formula1>
          <x14:formula2>
            <xm:f>0</xm:f>
          </x14:formula2>
          <xm:sqref>O5:O75</xm:sqref>
        </x14:dataValidation>
        <x14:dataValidation type="list" allowBlank="1" errorTitle="Valor no válido" error="Seleccione un valor de la lista." xr:uid="{8D4B796C-C8B8-4A78-AD2A-6086378E95BA}">
          <x14:formula1>
            <xm:f>Listas!$J$2:$J$5</xm:f>
          </x14:formula1>
          <xm:sqref>H5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M155"/>
  <sheetViews>
    <sheetView tabSelected="1" zoomScaleNormal="100" workbookViewId="0">
      <pane ySplit="4" topLeftCell="A5" activePane="bottomLeft" state="frozen"/>
      <selection pane="bottomLeft" activeCell="G7" sqref="G7"/>
    </sheetView>
  </sheetViews>
  <sheetFormatPr baseColWidth="10" defaultColWidth="8.7109375" defaultRowHeight="15" x14ac:dyDescent="0.25"/>
  <cols>
    <col min="1" max="1" width="7" customWidth="1"/>
    <col min="2" max="2" width="16" customWidth="1"/>
    <col min="3" max="3" width="15" customWidth="1"/>
    <col min="4" max="4" width="17.28515625" customWidth="1"/>
    <col min="5" max="8" width="11" customWidth="1"/>
    <col min="9" max="9" width="26" customWidth="1"/>
    <col min="10" max="10" width="20" customWidth="1"/>
    <col min="11" max="12" width="16" customWidth="1"/>
    <col min="13" max="13" width="30" customWidth="1"/>
  </cols>
  <sheetData>
    <row r="1" spans="1:13" ht="25.5" customHeight="1" x14ac:dyDescent="0.25">
      <c r="A1" s="27" t="s">
        <v>199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1.5" customHeight="1" x14ac:dyDescent="0.25">
      <c r="A2" s="28" t="s">
        <v>200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1.75" customHeight="1" x14ac:dyDescent="0.25">
      <c r="A3" s="29" t="s">
        <v>155</v>
      </c>
      <c r="B3" s="29"/>
      <c r="C3" s="29" t="s">
        <v>201</v>
      </c>
      <c r="D3" s="29"/>
      <c r="E3" s="29"/>
      <c r="F3" s="1"/>
      <c r="G3" s="1"/>
      <c r="H3" s="1"/>
      <c r="I3" s="29" t="s">
        <v>202</v>
      </c>
      <c r="J3" s="29"/>
      <c r="K3" s="29"/>
      <c r="L3" s="29"/>
      <c r="M3" s="1" t="s">
        <v>159</v>
      </c>
    </row>
    <row r="4" spans="1:13" ht="31.5" customHeight="1" x14ac:dyDescent="0.25">
      <c r="A4" s="5" t="s">
        <v>42</v>
      </c>
      <c r="B4" s="5" t="s">
        <v>160</v>
      </c>
      <c r="C4" s="5" t="s">
        <v>344</v>
      </c>
      <c r="D4" s="47" t="s">
        <v>208</v>
      </c>
      <c r="E4" s="47" t="s">
        <v>258</v>
      </c>
      <c r="F4" s="47" t="s">
        <v>268</v>
      </c>
      <c r="G4" s="47" t="s">
        <v>276</v>
      </c>
      <c r="H4" s="47" t="s">
        <v>282</v>
      </c>
      <c r="I4" s="5" t="s">
        <v>204</v>
      </c>
      <c r="J4" s="5" t="s">
        <v>205</v>
      </c>
      <c r="K4" s="5" t="s">
        <v>206</v>
      </c>
      <c r="L4" s="5" t="s">
        <v>207</v>
      </c>
      <c r="M4" s="5" t="s">
        <v>172</v>
      </c>
    </row>
    <row r="5" spans="1:13" x14ac:dyDescent="0.25">
      <c r="A5" s="42">
        <v>1</v>
      </c>
      <c r="B5" s="44" t="s">
        <v>343</v>
      </c>
      <c r="C5" s="48" t="s">
        <v>345</v>
      </c>
      <c r="D5" s="42"/>
      <c r="F5" s="54"/>
      <c r="G5" s="54"/>
      <c r="H5" s="55"/>
      <c r="I5" s="42" t="s">
        <v>209</v>
      </c>
      <c r="J5" s="42" t="s">
        <v>210</v>
      </c>
      <c r="K5" s="43">
        <v>35</v>
      </c>
      <c r="L5" s="42" t="s">
        <v>211</v>
      </c>
      <c r="M5" s="42" t="s">
        <v>212</v>
      </c>
    </row>
    <row r="6" spans="1:13" ht="38.25" customHeight="1" x14ac:dyDescent="0.25">
      <c r="A6" s="13"/>
      <c r="B6" s="45"/>
      <c r="C6" s="48" t="s">
        <v>346</v>
      </c>
      <c r="D6" s="50" t="s">
        <v>363</v>
      </c>
      <c r="E6" s="53" t="s">
        <v>366</v>
      </c>
      <c r="F6" s="57"/>
      <c r="G6" s="57"/>
      <c r="H6" s="58"/>
      <c r="I6" s="13"/>
      <c r="J6" s="13"/>
      <c r="K6" s="15"/>
      <c r="L6" s="13"/>
      <c r="M6" s="13"/>
    </row>
    <row r="7" spans="1:13" ht="38.25" customHeight="1" x14ac:dyDescent="0.25">
      <c r="A7" s="13"/>
      <c r="B7" s="45"/>
      <c r="C7" s="48" t="s">
        <v>347</v>
      </c>
      <c r="D7" s="52"/>
      <c r="E7" s="56"/>
      <c r="F7" s="57"/>
      <c r="G7" s="62"/>
      <c r="H7" s="58"/>
      <c r="I7" s="13"/>
      <c r="J7" s="13"/>
      <c r="K7" s="15"/>
      <c r="L7" s="13"/>
      <c r="M7" s="13"/>
    </row>
    <row r="8" spans="1:13" ht="38.25" customHeight="1" x14ac:dyDescent="0.25">
      <c r="A8" s="13"/>
      <c r="B8" s="45"/>
      <c r="C8" s="48" t="s">
        <v>348</v>
      </c>
      <c r="D8" s="51"/>
      <c r="E8" s="56"/>
      <c r="F8" s="57"/>
      <c r="G8" s="57"/>
      <c r="H8" s="58"/>
      <c r="I8" s="13"/>
      <c r="J8" s="13"/>
      <c r="K8" s="15"/>
      <c r="L8" s="13"/>
      <c r="M8" s="13"/>
    </row>
    <row r="9" spans="1:13" x14ac:dyDescent="0.25">
      <c r="A9" s="13"/>
      <c r="B9" s="45"/>
      <c r="C9" s="48" t="s">
        <v>349</v>
      </c>
      <c r="D9" s="50" t="s">
        <v>364</v>
      </c>
      <c r="E9" s="56"/>
      <c r="F9" s="57"/>
      <c r="G9" s="57"/>
      <c r="H9" s="58"/>
      <c r="I9" s="13"/>
      <c r="J9" s="13"/>
      <c r="K9" s="15"/>
      <c r="L9" s="13"/>
      <c r="M9" s="13"/>
    </row>
    <row r="10" spans="1:13" x14ac:dyDescent="0.25">
      <c r="A10" s="13"/>
      <c r="B10" s="45"/>
      <c r="C10" s="48" t="s">
        <v>350</v>
      </c>
      <c r="D10" s="51"/>
      <c r="E10" s="56"/>
      <c r="F10" s="57"/>
      <c r="G10" s="57"/>
      <c r="H10" s="58"/>
      <c r="I10" s="13"/>
      <c r="J10" s="13"/>
      <c r="K10" s="15"/>
      <c r="L10" s="13"/>
      <c r="M10" s="13"/>
    </row>
    <row r="11" spans="1:13" x14ac:dyDescent="0.25">
      <c r="A11" s="13"/>
      <c r="B11" s="45"/>
      <c r="C11" s="48" t="s">
        <v>351</v>
      </c>
      <c r="D11" s="49"/>
      <c r="E11" s="56"/>
      <c r="F11" s="57"/>
      <c r="G11" s="57"/>
      <c r="H11" s="58"/>
      <c r="I11" s="13"/>
      <c r="J11" s="13"/>
      <c r="K11" s="15"/>
      <c r="L11" s="13"/>
      <c r="M11" s="13"/>
    </row>
    <row r="12" spans="1:13" x14ac:dyDescent="0.25">
      <c r="A12" s="13"/>
      <c r="B12" s="45"/>
      <c r="C12" s="48" t="s">
        <v>352</v>
      </c>
      <c r="D12" s="49"/>
      <c r="E12" s="56"/>
      <c r="F12" s="57"/>
      <c r="G12" s="57"/>
      <c r="H12" s="58"/>
      <c r="I12" s="13"/>
      <c r="J12" s="13"/>
      <c r="K12" s="15"/>
      <c r="L12" s="13"/>
      <c r="M12" s="13"/>
    </row>
    <row r="13" spans="1:13" x14ac:dyDescent="0.25">
      <c r="A13" s="13"/>
      <c r="B13" s="45"/>
      <c r="C13" s="48" t="s">
        <v>353</v>
      </c>
      <c r="D13" s="49"/>
      <c r="E13" s="56"/>
      <c r="F13" s="57"/>
      <c r="G13" s="57"/>
      <c r="H13" s="58"/>
      <c r="I13" s="13"/>
      <c r="J13" s="13"/>
      <c r="K13" s="15"/>
      <c r="L13" s="13"/>
      <c r="M13" s="13"/>
    </row>
    <row r="14" spans="1:13" x14ac:dyDescent="0.25">
      <c r="A14" s="13"/>
      <c r="B14" s="45"/>
      <c r="C14" s="48" t="s">
        <v>354</v>
      </c>
      <c r="D14" s="49"/>
      <c r="E14" s="56"/>
      <c r="F14" s="57"/>
      <c r="G14" s="57"/>
      <c r="H14" s="58"/>
      <c r="I14" s="13"/>
      <c r="J14" s="13"/>
      <c r="K14" s="15"/>
      <c r="L14" s="13"/>
      <c r="M14" s="13"/>
    </row>
    <row r="15" spans="1:13" ht="51" customHeight="1" x14ac:dyDescent="0.25">
      <c r="A15" s="13"/>
      <c r="B15" s="45"/>
      <c r="C15" s="48" t="s">
        <v>355</v>
      </c>
      <c r="D15" s="50" t="s">
        <v>362</v>
      </c>
      <c r="E15" s="56"/>
      <c r="F15" s="57"/>
      <c r="G15" s="57"/>
      <c r="H15" s="58"/>
      <c r="I15" s="13"/>
      <c r="J15" s="13"/>
      <c r="K15" s="15"/>
      <c r="L15" s="13"/>
      <c r="M15" s="13"/>
    </row>
    <row r="16" spans="1:13" ht="51" customHeight="1" x14ac:dyDescent="0.25">
      <c r="A16" s="13"/>
      <c r="B16" s="45"/>
      <c r="C16" s="48" t="s">
        <v>356</v>
      </c>
      <c r="D16" s="51"/>
      <c r="E16" s="56"/>
      <c r="F16" s="57"/>
      <c r="G16" s="57"/>
      <c r="H16" s="58"/>
      <c r="I16" s="13"/>
      <c r="J16" s="13"/>
      <c r="K16" s="15"/>
      <c r="L16" s="13"/>
      <c r="M16" s="13"/>
    </row>
    <row r="17" spans="1:13" ht="63.75" customHeight="1" x14ac:dyDescent="0.25">
      <c r="A17" s="13"/>
      <c r="B17" s="45"/>
      <c r="C17" s="48" t="s">
        <v>357</v>
      </c>
      <c r="D17" s="50" t="s">
        <v>365</v>
      </c>
      <c r="E17" s="56"/>
      <c r="F17" s="57"/>
      <c r="G17" s="57"/>
      <c r="H17" s="58"/>
      <c r="I17" s="13"/>
      <c r="J17" s="13"/>
      <c r="K17" s="15"/>
      <c r="L17" s="13"/>
      <c r="M17" s="13"/>
    </row>
    <row r="18" spans="1:13" ht="63.75" customHeight="1" x14ac:dyDescent="0.25">
      <c r="A18" s="13"/>
      <c r="B18" s="45"/>
      <c r="C18" s="48" t="s">
        <v>358</v>
      </c>
      <c r="D18" s="51"/>
      <c r="E18" s="59"/>
      <c r="F18" s="60"/>
      <c r="G18" s="60"/>
      <c r="H18" s="61"/>
      <c r="I18" s="13"/>
      <c r="J18" s="13"/>
      <c r="K18" s="15"/>
      <c r="L18" s="13"/>
      <c r="M18" s="13"/>
    </row>
    <row r="19" spans="1:13" x14ac:dyDescent="0.25">
      <c r="A19" s="13"/>
      <c r="B19" s="45"/>
      <c r="C19" s="48" t="s">
        <v>359</v>
      </c>
      <c r="D19" s="49"/>
      <c r="E19" s="13"/>
      <c r="F19" s="13"/>
      <c r="G19" s="13"/>
      <c r="H19" s="13"/>
      <c r="I19" s="13"/>
      <c r="J19" s="13"/>
      <c r="K19" s="15"/>
      <c r="L19" s="13"/>
      <c r="M19" s="13"/>
    </row>
    <row r="20" spans="1:13" x14ac:dyDescent="0.25">
      <c r="A20" s="13"/>
      <c r="B20" s="45"/>
      <c r="C20" s="48" t="s">
        <v>360</v>
      </c>
      <c r="D20" s="49"/>
      <c r="E20" s="13"/>
      <c r="F20" s="13"/>
      <c r="G20" s="13"/>
      <c r="H20" s="13"/>
      <c r="I20" s="13"/>
      <c r="J20" s="13"/>
      <c r="K20" s="15"/>
      <c r="L20" s="13"/>
      <c r="M20" s="13"/>
    </row>
    <row r="21" spans="1:13" x14ac:dyDescent="0.25">
      <c r="A21" s="13"/>
      <c r="B21" s="46"/>
      <c r="C21" s="48" t="s">
        <v>361</v>
      </c>
      <c r="D21" s="49"/>
      <c r="E21" s="13"/>
      <c r="F21" s="13"/>
      <c r="G21" s="13"/>
      <c r="H21" s="13"/>
      <c r="I21" s="13"/>
      <c r="J21" s="13"/>
      <c r="K21" s="15"/>
      <c r="L21" s="13"/>
      <c r="M21" s="13"/>
    </row>
    <row r="22" spans="1:13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5"/>
      <c r="L22" s="13"/>
      <c r="M22" s="13"/>
    </row>
    <row r="23" spans="1:13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5"/>
      <c r="L23" s="13"/>
      <c r="M23" s="13"/>
    </row>
    <row r="24" spans="1:13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5"/>
      <c r="L24" s="13"/>
      <c r="M24" s="13"/>
    </row>
    <row r="25" spans="1:13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5"/>
      <c r="L25" s="13"/>
      <c r="M25" s="13"/>
    </row>
    <row r="26" spans="1:13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5"/>
      <c r="L26" s="13"/>
      <c r="M26" s="13"/>
    </row>
    <row r="27" spans="1:13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5"/>
      <c r="L27" s="13"/>
      <c r="M27" s="13"/>
    </row>
    <row r="28" spans="1:13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5"/>
      <c r="L28" s="13"/>
      <c r="M28" s="13"/>
    </row>
    <row r="29" spans="1:13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5"/>
      <c r="L29" s="13"/>
      <c r="M29" s="13"/>
    </row>
    <row r="30" spans="1:1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5"/>
      <c r="L30" s="13"/>
      <c r="M30" s="13"/>
    </row>
    <row r="31" spans="1:13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5"/>
      <c r="L31" s="13"/>
      <c r="M31" s="13"/>
    </row>
    <row r="32" spans="1:1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5"/>
      <c r="L32" s="13"/>
      <c r="M32" s="13"/>
    </row>
    <row r="33" spans="1:13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5"/>
      <c r="L33" s="13"/>
      <c r="M33" s="13"/>
    </row>
    <row r="34" spans="1:13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5"/>
      <c r="L34" s="13"/>
      <c r="M34" s="13"/>
    </row>
    <row r="35" spans="1:13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5"/>
      <c r="L35" s="13"/>
      <c r="M35" s="13"/>
    </row>
    <row r="36" spans="1:13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5"/>
      <c r="L36" s="13"/>
      <c r="M36" s="13"/>
    </row>
    <row r="37" spans="1:13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5"/>
      <c r="L37" s="13"/>
      <c r="M37" s="13"/>
    </row>
    <row r="38" spans="1:13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5"/>
      <c r="L38" s="13"/>
      <c r="M38" s="13"/>
    </row>
    <row r="39" spans="1:1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5"/>
      <c r="L39" s="13"/>
      <c r="M39" s="13"/>
    </row>
    <row r="40" spans="1:1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5"/>
      <c r="L40" s="13"/>
      <c r="M40" s="13"/>
    </row>
    <row r="41" spans="1:1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5"/>
      <c r="L41" s="13"/>
      <c r="M41" s="13"/>
    </row>
    <row r="42" spans="1:13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5"/>
      <c r="L42" s="13"/>
      <c r="M42" s="13"/>
    </row>
    <row r="43" spans="1:13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5"/>
      <c r="L43" s="13"/>
      <c r="M43" s="13"/>
    </row>
    <row r="44" spans="1:13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5"/>
      <c r="L44" s="13"/>
      <c r="M44" s="13"/>
    </row>
    <row r="45" spans="1:13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5"/>
      <c r="L45" s="13"/>
      <c r="M45" s="13"/>
    </row>
    <row r="46" spans="1:13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5"/>
      <c r="L46" s="13"/>
      <c r="M46" s="13"/>
    </row>
    <row r="47" spans="1:13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5"/>
      <c r="L47" s="13"/>
      <c r="M47" s="13"/>
    </row>
    <row r="48" spans="1:1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5"/>
      <c r="L48" s="13"/>
      <c r="M48" s="13"/>
    </row>
    <row r="49" spans="1:13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5"/>
      <c r="L49" s="13"/>
      <c r="M49" s="13"/>
    </row>
    <row r="50" spans="1:13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5"/>
      <c r="L50" s="13"/>
      <c r="M50" s="13"/>
    </row>
    <row r="51" spans="1:1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5"/>
      <c r="L51" s="13"/>
      <c r="M51" s="13"/>
    </row>
    <row r="52" spans="1:13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5"/>
      <c r="L52" s="13"/>
      <c r="M52" s="13"/>
    </row>
    <row r="53" spans="1:13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5"/>
      <c r="L53" s="13"/>
      <c r="M53" s="13"/>
    </row>
    <row r="54" spans="1:1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5"/>
      <c r="L54" s="13"/>
      <c r="M54" s="13"/>
    </row>
    <row r="55" spans="1:13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5"/>
      <c r="L55" s="13"/>
      <c r="M55" s="13"/>
    </row>
    <row r="56" spans="1:13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5"/>
      <c r="L56" s="13"/>
      <c r="M56" s="13"/>
    </row>
    <row r="57" spans="1:13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5"/>
      <c r="L57" s="13"/>
      <c r="M57" s="13"/>
    </row>
    <row r="58" spans="1:13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5"/>
      <c r="L58" s="13"/>
      <c r="M58" s="13"/>
    </row>
    <row r="59" spans="1:13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5"/>
      <c r="L59" s="13"/>
      <c r="M59" s="13"/>
    </row>
    <row r="60" spans="1:13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5"/>
      <c r="L60" s="13"/>
      <c r="M60" s="13"/>
    </row>
    <row r="61" spans="1:13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5"/>
      <c r="L61" s="13"/>
      <c r="M61" s="13"/>
    </row>
    <row r="62" spans="1:13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5"/>
      <c r="L62" s="13"/>
      <c r="M62" s="13"/>
    </row>
    <row r="63" spans="1:13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5"/>
      <c r="L63" s="13"/>
      <c r="M63" s="13"/>
    </row>
    <row r="64" spans="1:13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5"/>
      <c r="L64" s="13"/>
      <c r="M64" s="13"/>
    </row>
    <row r="65" spans="1:1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5"/>
      <c r="L65" s="13"/>
      <c r="M65" s="13"/>
    </row>
    <row r="66" spans="1:1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5"/>
      <c r="L66" s="13"/>
      <c r="M66" s="13"/>
    </row>
    <row r="67" spans="1:13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5"/>
      <c r="L67" s="13"/>
      <c r="M67" s="13"/>
    </row>
    <row r="68" spans="1:1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5"/>
      <c r="L68" s="13"/>
      <c r="M68" s="13"/>
    </row>
    <row r="69" spans="1:13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5"/>
      <c r="L69" s="13"/>
      <c r="M69" s="13"/>
    </row>
    <row r="70" spans="1:1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5"/>
      <c r="L70" s="13"/>
      <c r="M70" s="13"/>
    </row>
    <row r="71" spans="1:13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5"/>
      <c r="L71" s="13"/>
      <c r="M71" s="13"/>
    </row>
    <row r="72" spans="1:1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5"/>
      <c r="L72" s="13"/>
      <c r="M72" s="13"/>
    </row>
    <row r="73" spans="1:13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5"/>
      <c r="L73" s="13"/>
      <c r="M73" s="13"/>
    </row>
    <row r="74" spans="1:13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5"/>
      <c r="L74" s="13"/>
      <c r="M74" s="13"/>
    </row>
    <row r="75" spans="1:13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5"/>
      <c r="L75" s="13"/>
      <c r="M75" s="13"/>
    </row>
    <row r="76" spans="1:13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5"/>
      <c r="L76" s="13"/>
      <c r="M76" s="13"/>
    </row>
    <row r="77" spans="1:13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5"/>
      <c r="L77" s="13"/>
      <c r="M77" s="13"/>
    </row>
    <row r="78" spans="1:13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5"/>
      <c r="L78" s="13"/>
      <c r="M78" s="13"/>
    </row>
    <row r="79" spans="1:13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5"/>
      <c r="L79" s="13"/>
      <c r="M79" s="13"/>
    </row>
    <row r="80" spans="1:13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5"/>
      <c r="L80" s="13"/>
      <c r="M80" s="13"/>
    </row>
    <row r="81" spans="1:13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5"/>
      <c r="L81" s="13"/>
      <c r="M81" s="13"/>
    </row>
    <row r="82" spans="1:13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5"/>
      <c r="L82" s="13"/>
      <c r="M82" s="13"/>
    </row>
    <row r="83" spans="1:13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5"/>
      <c r="L83" s="13"/>
      <c r="M83" s="13"/>
    </row>
    <row r="84" spans="1:13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5"/>
      <c r="L84" s="13"/>
      <c r="M84" s="13"/>
    </row>
    <row r="85" spans="1:13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5"/>
      <c r="L85" s="13"/>
      <c r="M85" s="13"/>
    </row>
    <row r="86" spans="1:13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5"/>
      <c r="L86" s="13"/>
      <c r="M86" s="13"/>
    </row>
    <row r="87" spans="1:13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5"/>
      <c r="L87" s="13"/>
      <c r="M87" s="13"/>
    </row>
    <row r="88" spans="1:13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5"/>
      <c r="L88" s="13"/>
      <c r="M88" s="13"/>
    </row>
    <row r="89" spans="1:13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5"/>
      <c r="L89" s="13"/>
      <c r="M89" s="13"/>
    </row>
    <row r="90" spans="1:13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5"/>
      <c r="L90" s="13"/>
      <c r="M90" s="13"/>
    </row>
    <row r="91" spans="1:1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5"/>
      <c r="L91" s="13"/>
      <c r="M91" s="13"/>
    </row>
    <row r="92" spans="1:1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5"/>
      <c r="L92" s="13"/>
      <c r="M92" s="13"/>
    </row>
    <row r="93" spans="1:1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5"/>
      <c r="L93" s="13"/>
      <c r="M93" s="13"/>
    </row>
    <row r="94" spans="1:1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5"/>
      <c r="L94" s="13"/>
      <c r="M94" s="13"/>
    </row>
    <row r="95" spans="1:1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5"/>
      <c r="L95" s="13"/>
      <c r="M95" s="13"/>
    </row>
    <row r="96" spans="1:1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5"/>
      <c r="L96" s="13"/>
      <c r="M96" s="13"/>
    </row>
    <row r="97" spans="1:1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5"/>
      <c r="L97" s="13"/>
      <c r="M97" s="13"/>
    </row>
    <row r="98" spans="1:1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5"/>
      <c r="L98" s="13"/>
      <c r="M98" s="13"/>
    </row>
    <row r="99" spans="1:1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5"/>
      <c r="L99" s="13"/>
      <c r="M99" s="13"/>
    </row>
    <row r="100" spans="1:1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5"/>
      <c r="L100" s="13"/>
      <c r="M100" s="13"/>
    </row>
    <row r="101" spans="1:1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5"/>
      <c r="L101" s="13"/>
      <c r="M101" s="13"/>
    </row>
    <row r="102" spans="1:1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5"/>
      <c r="L102" s="13"/>
      <c r="M102" s="13"/>
    </row>
    <row r="103" spans="1:1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5"/>
      <c r="L103" s="13"/>
      <c r="M103" s="13"/>
    </row>
    <row r="104" spans="1:1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5"/>
      <c r="L104" s="13"/>
      <c r="M104" s="13"/>
    </row>
    <row r="105" spans="1:1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5"/>
      <c r="L105" s="13"/>
      <c r="M105" s="13"/>
    </row>
    <row r="106" spans="1:1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5"/>
      <c r="L106" s="13"/>
      <c r="M106" s="13"/>
    </row>
    <row r="107" spans="1:1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5"/>
      <c r="L107" s="13"/>
      <c r="M107" s="13"/>
    </row>
    <row r="108" spans="1:1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5"/>
      <c r="L108" s="13"/>
      <c r="M108" s="13"/>
    </row>
    <row r="109" spans="1:1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5"/>
      <c r="L109" s="13"/>
      <c r="M109" s="13"/>
    </row>
    <row r="110" spans="1:1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5"/>
      <c r="L110" s="13"/>
      <c r="M110" s="13"/>
    </row>
    <row r="111" spans="1:1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5"/>
      <c r="L111" s="13"/>
      <c r="M111" s="13"/>
    </row>
    <row r="112" spans="1:1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5"/>
      <c r="L112" s="13"/>
      <c r="M112" s="13"/>
    </row>
    <row r="113" spans="1:1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5"/>
      <c r="L113" s="13"/>
      <c r="M113" s="13"/>
    </row>
    <row r="114" spans="1:1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5"/>
      <c r="L114" s="13"/>
      <c r="M114" s="13"/>
    </row>
    <row r="115" spans="1:1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5"/>
      <c r="L115" s="13"/>
      <c r="M115" s="13"/>
    </row>
    <row r="116" spans="1:1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5"/>
      <c r="L116" s="13"/>
      <c r="M116" s="13"/>
    </row>
    <row r="117" spans="1:1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5"/>
      <c r="L117" s="13"/>
      <c r="M117" s="13"/>
    </row>
    <row r="118" spans="1:1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5"/>
      <c r="L118" s="13"/>
      <c r="M118" s="13"/>
    </row>
    <row r="119" spans="1:1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5"/>
      <c r="L119" s="13"/>
      <c r="M119" s="13"/>
    </row>
    <row r="120" spans="1:1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5"/>
      <c r="L120" s="13"/>
      <c r="M120" s="13"/>
    </row>
    <row r="121" spans="1:1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5"/>
      <c r="L121" s="13"/>
      <c r="M121" s="13"/>
    </row>
    <row r="122" spans="1:1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5"/>
      <c r="L122" s="13"/>
      <c r="M122" s="13"/>
    </row>
    <row r="123" spans="1:1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5"/>
      <c r="L123" s="13"/>
      <c r="M123" s="13"/>
    </row>
    <row r="124" spans="1:1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5"/>
      <c r="L124" s="13"/>
      <c r="M124" s="13"/>
    </row>
    <row r="125" spans="1:1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5"/>
      <c r="L125" s="13"/>
      <c r="M125" s="13"/>
    </row>
    <row r="126" spans="1:1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5"/>
      <c r="L126" s="13"/>
      <c r="M126" s="13"/>
    </row>
    <row r="127" spans="1: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5"/>
      <c r="L127" s="13"/>
      <c r="M127" s="13"/>
    </row>
    <row r="128" spans="1:1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5"/>
      <c r="L128" s="13"/>
      <c r="M128" s="13"/>
    </row>
    <row r="129" spans="1:1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5"/>
      <c r="L129" s="13"/>
      <c r="M129" s="13"/>
    </row>
    <row r="130" spans="1:1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5"/>
      <c r="L130" s="13"/>
      <c r="M130" s="13"/>
    </row>
    <row r="131" spans="1:1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5"/>
      <c r="L131" s="13"/>
      <c r="M131" s="13"/>
    </row>
    <row r="132" spans="1:1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5"/>
      <c r="L132" s="13"/>
      <c r="M132" s="13"/>
    </row>
    <row r="133" spans="1:1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5"/>
      <c r="L133" s="13"/>
      <c r="M133" s="13"/>
    </row>
    <row r="134" spans="1:1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5"/>
      <c r="L134" s="13"/>
      <c r="M134" s="13"/>
    </row>
    <row r="135" spans="1:1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5"/>
      <c r="L135" s="13"/>
      <c r="M135" s="13"/>
    </row>
    <row r="136" spans="1:1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5"/>
      <c r="L136" s="13"/>
      <c r="M136" s="13"/>
    </row>
    <row r="137" spans="1:1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5"/>
      <c r="L137" s="13"/>
      <c r="M137" s="13"/>
    </row>
    <row r="138" spans="1:1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5"/>
      <c r="L138" s="13"/>
      <c r="M138" s="13"/>
    </row>
    <row r="139" spans="1:1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5"/>
      <c r="L139" s="13"/>
      <c r="M139" s="13"/>
    </row>
    <row r="140" spans="1:1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5"/>
      <c r="L140" s="13"/>
      <c r="M140" s="13"/>
    </row>
    <row r="141" spans="1:1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5"/>
      <c r="L141" s="13"/>
      <c r="M141" s="13"/>
    </row>
    <row r="142" spans="1:1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5"/>
      <c r="L142" s="13"/>
      <c r="M142" s="13"/>
    </row>
    <row r="143" spans="1:1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5"/>
      <c r="L143" s="13"/>
      <c r="M143" s="13"/>
    </row>
    <row r="144" spans="1:1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5"/>
      <c r="L144" s="13"/>
      <c r="M144" s="13"/>
    </row>
    <row r="145" spans="1:1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5"/>
      <c r="L145" s="13"/>
      <c r="M145" s="13"/>
    </row>
    <row r="146" spans="1:1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5"/>
      <c r="L146" s="13"/>
      <c r="M146" s="13"/>
    </row>
    <row r="147" spans="1:1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5"/>
      <c r="L147" s="13"/>
      <c r="M147" s="13"/>
    </row>
    <row r="148" spans="1:1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5"/>
      <c r="L148" s="13"/>
      <c r="M148" s="13"/>
    </row>
    <row r="149" spans="1:1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5"/>
      <c r="L149" s="13"/>
      <c r="M149" s="13"/>
    </row>
    <row r="150" spans="1:1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5"/>
      <c r="L150" s="13"/>
      <c r="M150" s="13"/>
    </row>
    <row r="151" spans="1:1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5"/>
      <c r="L151" s="13"/>
      <c r="M151" s="13"/>
    </row>
    <row r="152" spans="1:1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5"/>
      <c r="L152" s="13"/>
      <c r="M152" s="13"/>
    </row>
    <row r="153" spans="1:1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5"/>
      <c r="L153" s="13"/>
      <c r="M153" s="13"/>
    </row>
    <row r="154" spans="1:1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5"/>
      <c r="L154" s="13"/>
      <c r="M154" s="13"/>
    </row>
    <row r="155" spans="1:1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5"/>
      <c r="L155" s="13"/>
      <c r="M155" s="13"/>
    </row>
  </sheetData>
  <autoFilter ref="A4:M155" xr:uid="{00000000-0009-0000-0000-000005000000}"/>
  <mergeCells count="10">
    <mergeCell ref="B5:B21"/>
    <mergeCell ref="D15:D16"/>
    <mergeCell ref="D9:D10"/>
    <mergeCell ref="D6:D8"/>
    <mergeCell ref="D17:D18"/>
    <mergeCell ref="A1:M1"/>
    <mergeCell ref="A2:M2"/>
    <mergeCell ref="A3:B3"/>
    <mergeCell ref="C3:E3"/>
    <mergeCell ref="I3:L3"/>
  </mergeCells>
  <phoneticPr fontId="15" type="noConversion"/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de la lista." xr:uid="{00000000-0002-0000-0500-000000000000}">
          <x14:formula1>
            <xm:f>Listas!$E$2:$E$6</xm:f>
          </x14:formula1>
          <x14:formula2>
            <xm:f>0</xm:f>
          </x14:formula2>
          <xm:sqref>A5:A155</xm:sqref>
        </x14:dataValidation>
        <x14:dataValidation type="list" allowBlank="1" errorTitle="Valor no válido" error="Seleccione un valor de la lista." xr:uid="{00000000-0002-0000-0500-000002000000}">
          <x14:formula1>
            <xm:f>Listas!$M$2:$M$7</xm:f>
          </x14:formula1>
          <x14:formula2>
            <xm:f>0</xm:f>
          </x14:formula2>
          <xm:sqref>L5:L155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R75"/>
  <sheetViews>
    <sheetView topLeftCell="H1" zoomScaleNormal="100" workbookViewId="0">
      <pane ySplit="4" topLeftCell="A5" activePane="bottomLeft" state="frozen"/>
      <selection pane="bottomLeft" activeCell="Q6" sqref="Q6"/>
    </sheetView>
  </sheetViews>
  <sheetFormatPr baseColWidth="10" defaultColWidth="8.7109375" defaultRowHeight="15" x14ac:dyDescent="0.25"/>
  <cols>
    <col min="1" max="1" width="7" customWidth="1"/>
    <col min="2" max="2" width="16" customWidth="1"/>
    <col min="3" max="3" width="18" customWidth="1"/>
    <col min="4" max="4" width="14" customWidth="1"/>
    <col min="5" max="5" width="16" customWidth="1"/>
    <col min="6" max="6" width="18" customWidth="1"/>
    <col min="7" max="7" width="16" customWidth="1"/>
    <col min="8" max="8" width="14" customWidth="1"/>
    <col min="9" max="12" width="12" customWidth="1"/>
    <col min="13" max="13" width="18" customWidth="1"/>
    <col min="14" max="16" width="16" customWidth="1"/>
    <col min="17" max="17" width="18" customWidth="1"/>
    <col min="18" max="18" width="30" customWidth="1"/>
  </cols>
  <sheetData>
    <row r="1" spans="1:18" ht="25.5" customHeight="1" x14ac:dyDescent="0.25">
      <c r="A1" s="27" t="s">
        <v>213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25">
      <c r="A2" s="28" t="s">
        <v>214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21.75" customHeight="1" x14ac:dyDescent="0.25">
      <c r="A3" s="29" t="s">
        <v>155</v>
      </c>
      <c r="B3" s="29"/>
      <c r="C3" s="29" t="s">
        <v>215</v>
      </c>
      <c r="D3" s="29"/>
      <c r="E3" s="29"/>
      <c r="F3" s="29"/>
      <c r="G3" s="29"/>
      <c r="H3" s="29"/>
      <c r="I3" s="29"/>
      <c r="J3" s="29" t="s">
        <v>216</v>
      </c>
      <c r="K3" s="29"/>
      <c r="L3" s="29"/>
      <c r="M3" s="29"/>
      <c r="N3" s="29"/>
      <c r="O3" s="29"/>
      <c r="P3" s="29"/>
      <c r="Q3" s="29"/>
      <c r="R3" s="1" t="s">
        <v>159</v>
      </c>
    </row>
    <row r="4" spans="1:18" ht="43.15" customHeight="1" x14ac:dyDescent="0.25">
      <c r="A4" s="5" t="s">
        <v>42</v>
      </c>
      <c r="B4" s="5" t="s">
        <v>160</v>
      </c>
      <c r="C4" s="5" t="s">
        <v>217</v>
      </c>
      <c r="D4" s="5" t="s">
        <v>218</v>
      </c>
      <c r="E4" s="5" t="s">
        <v>219</v>
      </c>
      <c r="F4" s="5" t="s">
        <v>220</v>
      </c>
      <c r="G4" s="5" t="s">
        <v>221</v>
      </c>
      <c r="H4" s="5" t="s">
        <v>222</v>
      </c>
      <c r="I4" s="5" t="s">
        <v>223</v>
      </c>
      <c r="J4" s="5" t="s">
        <v>224</v>
      </c>
      <c r="K4" s="5" t="s">
        <v>225</v>
      </c>
      <c r="L4" s="5" t="s">
        <v>312</v>
      </c>
      <c r="M4" s="5" t="s">
        <v>226</v>
      </c>
      <c r="N4" s="5" t="s">
        <v>227</v>
      </c>
      <c r="O4" s="5" t="s">
        <v>228</v>
      </c>
      <c r="P4" s="5" t="s">
        <v>229</v>
      </c>
      <c r="Q4" s="5" t="s">
        <v>313</v>
      </c>
      <c r="R4" s="5" t="s">
        <v>172</v>
      </c>
    </row>
    <row r="5" spans="1:18" ht="25.5" x14ac:dyDescent="0.25">
      <c r="A5" s="11">
        <v>1</v>
      </c>
      <c r="B5" s="11" t="s">
        <v>173</v>
      </c>
      <c r="C5" s="11" t="s">
        <v>176</v>
      </c>
      <c r="D5" s="12">
        <v>95</v>
      </c>
      <c r="E5" s="11" t="s">
        <v>176</v>
      </c>
      <c r="F5" s="11" t="s">
        <v>176</v>
      </c>
      <c r="G5" s="11" t="s">
        <v>176</v>
      </c>
      <c r="H5" s="11" t="s">
        <v>197</v>
      </c>
      <c r="I5" s="11" t="s">
        <v>197</v>
      </c>
      <c r="J5" s="11" t="s">
        <v>176</v>
      </c>
      <c r="K5" s="11" t="s">
        <v>176</v>
      </c>
      <c r="L5" s="11"/>
      <c r="M5" s="11" t="s">
        <v>176</v>
      </c>
      <c r="N5" s="11" t="s">
        <v>176</v>
      </c>
      <c r="O5" s="11" t="s">
        <v>176</v>
      </c>
      <c r="P5" s="11" t="s">
        <v>176</v>
      </c>
      <c r="Q5" s="11" t="s">
        <v>176</v>
      </c>
      <c r="R5" s="11" t="s">
        <v>230</v>
      </c>
    </row>
    <row r="6" spans="1:18" x14ac:dyDescent="0.25">
      <c r="A6" s="13"/>
      <c r="B6" s="13"/>
      <c r="C6" s="13"/>
      <c r="D6" s="1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25">
      <c r="A7" s="13"/>
      <c r="B7" s="13"/>
      <c r="C7" s="13"/>
      <c r="D7" s="15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x14ac:dyDescent="0.25">
      <c r="A8" s="13"/>
      <c r="B8" s="13"/>
      <c r="C8" s="13"/>
      <c r="D8" s="15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25">
      <c r="A9" s="13"/>
      <c r="B9" s="13"/>
      <c r="C9" s="13"/>
      <c r="D9" s="15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25">
      <c r="A10" s="13"/>
      <c r="B10" s="13"/>
      <c r="C10" s="13"/>
      <c r="D10" s="15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25">
      <c r="A11" s="13"/>
      <c r="B11" s="13"/>
      <c r="C11" s="13"/>
      <c r="D11" s="15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25">
      <c r="A12" s="13"/>
      <c r="B12" s="13"/>
      <c r="C12" s="13"/>
      <c r="D12" s="15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25">
      <c r="A13" s="13"/>
      <c r="B13" s="13"/>
      <c r="C13" s="13"/>
      <c r="D13" s="15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25">
      <c r="A14" s="13"/>
      <c r="B14" s="13"/>
      <c r="C14" s="13"/>
      <c r="D14" s="15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5">
      <c r="A15" s="13"/>
      <c r="B15" s="13"/>
      <c r="C15" s="13"/>
      <c r="D15" s="15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5">
      <c r="A16" s="13"/>
      <c r="B16" s="13"/>
      <c r="C16" s="13"/>
      <c r="D16" s="15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5">
      <c r="A17" s="13"/>
      <c r="B17" s="13"/>
      <c r="C17" s="13"/>
      <c r="D17" s="15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25">
      <c r="A18" s="13"/>
      <c r="B18" s="13"/>
      <c r="C18" s="13"/>
      <c r="D18" s="15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5">
      <c r="A19" s="13"/>
      <c r="B19" s="13"/>
      <c r="C19" s="13"/>
      <c r="D19" s="15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5">
      <c r="A20" s="13"/>
      <c r="B20" s="13"/>
      <c r="C20" s="13"/>
      <c r="D20" s="15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5">
      <c r="A21" s="13"/>
      <c r="B21" s="13"/>
      <c r="C21" s="13"/>
      <c r="D21" s="15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5">
      <c r="A22" s="13"/>
      <c r="B22" s="13"/>
      <c r="C22" s="13"/>
      <c r="D22" s="15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5">
      <c r="A23" s="13"/>
      <c r="B23" s="13"/>
      <c r="C23" s="13"/>
      <c r="D23" s="1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5">
      <c r="A24" s="13"/>
      <c r="B24" s="13"/>
      <c r="C24" s="13"/>
      <c r="D24" s="1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5">
      <c r="A25" s="13"/>
      <c r="B25" s="13"/>
      <c r="C25" s="13"/>
      <c r="D25" s="1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25">
      <c r="A26" s="13"/>
      <c r="B26" s="13"/>
      <c r="C26" s="13"/>
      <c r="D26" s="1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25">
      <c r="A27" s="13"/>
      <c r="B27" s="13"/>
      <c r="C27" s="13"/>
      <c r="D27" s="1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x14ac:dyDescent="0.25">
      <c r="A28" s="13"/>
      <c r="B28" s="13"/>
      <c r="C28" s="13"/>
      <c r="D28" s="1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5">
      <c r="A29" s="13"/>
      <c r="B29" s="13"/>
      <c r="C29" s="13"/>
      <c r="D29" s="1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5">
      <c r="A30" s="13"/>
      <c r="B30" s="13"/>
      <c r="C30" s="13"/>
      <c r="D30" s="1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25">
      <c r="A31" s="13"/>
      <c r="B31" s="13"/>
      <c r="C31" s="13"/>
      <c r="D31" s="1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25">
      <c r="A32" s="13"/>
      <c r="B32" s="13"/>
      <c r="C32" s="13"/>
      <c r="D32" s="1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25">
      <c r="A33" s="13"/>
      <c r="B33" s="13"/>
      <c r="C33" s="13"/>
      <c r="D33" s="1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25">
      <c r="A34" s="13"/>
      <c r="B34" s="13"/>
      <c r="C34" s="13"/>
      <c r="D34" s="1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25">
      <c r="A35" s="13"/>
      <c r="B35" s="13"/>
      <c r="C35" s="13"/>
      <c r="D35" s="1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x14ac:dyDescent="0.25">
      <c r="A36" s="13"/>
      <c r="B36" s="13"/>
      <c r="C36" s="13"/>
      <c r="D36" s="1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x14ac:dyDescent="0.25">
      <c r="A37" s="13"/>
      <c r="B37" s="13"/>
      <c r="C37" s="13"/>
      <c r="D37" s="1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x14ac:dyDescent="0.25">
      <c r="A38" s="13"/>
      <c r="B38" s="13"/>
      <c r="C38" s="13"/>
      <c r="D38" s="1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x14ac:dyDescent="0.25">
      <c r="A39" s="13"/>
      <c r="B39" s="13"/>
      <c r="C39" s="13"/>
      <c r="D39" s="1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x14ac:dyDescent="0.25">
      <c r="A40" s="13"/>
      <c r="B40" s="13"/>
      <c r="C40" s="13"/>
      <c r="D40" s="1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x14ac:dyDescent="0.25">
      <c r="A41" s="13"/>
      <c r="B41" s="13"/>
      <c r="C41" s="13"/>
      <c r="D41" s="1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x14ac:dyDescent="0.25">
      <c r="A42" s="13"/>
      <c r="B42" s="13"/>
      <c r="C42" s="13"/>
      <c r="D42" s="1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x14ac:dyDescent="0.25">
      <c r="A43" s="13"/>
      <c r="B43" s="13"/>
      <c r="C43" s="13"/>
      <c r="D43" s="1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x14ac:dyDescent="0.25">
      <c r="A44" s="13"/>
      <c r="B44" s="13"/>
      <c r="C44" s="13"/>
      <c r="D44" s="1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x14ac:dyDescent="0.25">
      <c r="A45" s="13"/>
      <c r="B45" s="13"/>
      <c r="C45" s="13"/>
      <c r="D45" s="1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x14ac:dyDescent="0.25">
      <c r="A46" s="13"/>
      <c r="B46" s="13"/>
      <c r="C46" s="13"/>
      <c r="D46" s="1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3"/>
      <c r="B47" s="13"/>
      <c r="C47" s="13"/>
      <c r="D47" s="1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x14ac:dyDescent="0.25">
      <c r="A48" s="13"/>
      <c r="B48" s="13"/>
      <c r="C48" s="13"/>
      <c r="D48" s="1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x14ac:dyDescent="0.25">
      <c r="A49" s="13"/>
      <c r="B49" s="13"/>
      <c r="C49" s="13"/>
      <c r="D49" s="1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x14ac:dyDescent="0.25">
      <c r="A50" s="13"/>
      <c r="B50" s="13"/>
      <c r="C50" s="13"/>
      <c r="D50" s="1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x14ac:dyDescent="0.25">
      <c r="A51" s="13"/>
      <c r="B51" s="13"/>
      <c r="C51" s="13"/>
      <c r="D51" s="1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x14ac:dyDescent="0.25">
      <c r="A52" s="13"/>
      <c r="B52" s="13"/>
      <c r="C52" s="13"/>
      <c r="D52" s="1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x14ac:dyDescent="0.25">
      <c r="A53" s="13"/>
      <c r="B53" s="13"/>
      <c r="C53" s="13"/>
      <c r="D53" s="1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x14ac:dyDescent="0.25">
      <c r="A54" s="13"/>
      <c r="B54" s="13"/>
      <c r="C54" s="13"/>
      <c r="D54" s="1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x14ac:dyDescent="0.25">
      <c r="A55" s="13"/>
      <c r="B55" s="13"/>
      <c r="C55" s="13"/>
      <c r="D55" s="1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x14ac:dyDescent="0.25">
      <c r="A56" s="13"/>
      <c r="B56" s="13"/>
      <c r="C56" s="13"/>
      <c r="D56" s="1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x14ac:dyDescent="0.25">
      <c r="A57" s="13"/>
      <c r="B57" s="13"/>
      <c r="C57" s="13"/>
      <c r="D57" s="1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x14ac:dyDescent="0.25">
      <c r="A58" s="13"/>
      <c r="B58" s="13"/>
      <c r="C58" s="13"/>
      <c r="D58" s="1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x14ac:dyDescent="0.25">
      <c r="A59" s="13"/>
      <c r="B59" s="13"/>
      <c r="C59" s="13"/>
      <c r="D59" s="1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x14ac:dyDescent="0.25">
      <c r="A60" s="13"/>
      <c r="B60" s="13"/>
      <c r="C60" s="13"/>
      <c r="D60" s="1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x14ac:dyDescent="0.25">
      <c r="A61" s="13"/>
      <c r="B61" s="13"/>
      <c r="C61" s="13"/>
      <c r="D61" s="1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x14ac:dyDescent="0.25">
      <c r="A62" s="13"/>
      <c r="B62" s="13"/>
      <c r="C62" s="13"/>
      <c r="D62" s="1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x14ac:dyDescent="0.25">
      <c r="A63" s="13"/>
      <c r="B63" s="13"/>
      <c r="C63" s="13"/>
      <c r="D63" s="1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x14ac:dyDescent="0.25">
      <c r="A64" s="13"/>
      <c r="B64" s="13"/>
      <c r="C64" s="13"/>
      <c r="D64" s="1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x14ac:dyDescent="0.25">
      <c r="A65" s="13"/>
      <c r="B65" s="13"/>
      <c r="C65" s="13"/>
      <c r="D65" s="1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x14ac:dyDescent="0.25">
      <c r="A66" s="13"/>
      <c r="B66" s="13"/>
      <c r="C66" s="13"/>
      <c r="D66" s="1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x14ac:dyDescent="0.25">
      <c r="A67" s="13"/>
      <c r="B67" s="13"/>
      <c r="C67" s="13"/>
      <c r="D67" s="1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x14ac:dyDescent="0.25">
      <c r="A68" s="13"/>
      <c r="B68" s="13"/>
      <c r="C68" s="13"/>
      <c r="D68" s="1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x14ac:dyDescent="0.25">
      <c r="A69" s="13"/>
      <c r="B69" s="13"/>
      <c r="C69" s="13"/>
      <c r="D69" s="1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x14ac:dyDescent="0.25">
      <c r="A70" s="13"/>
      <c r="B70" s="13"/>
      <c r="C70" s="13"/>
      <c r="D70" s="1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x14ac:dyDescent="0.25">
      <c r="A71" s="13"/>
      <c r="B71" s="13"/>
      <c r="C71" s="13"/>
      <c r="D71" s="1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x14ac:dyDescent="0.25">
      <c r="A72" s="13"/>
      <c r="B72" s="13"/>
      <c r="C72" s="13"/>
      <c r="D72" s="1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x14ac:dyDescent="0.25">
      <c r="A73" s="13"/>
      <c r="B73" s="13"/>
      <c r="C73" s="13"/>
      <c r="D73" s="1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x14ac:dyDescent="0.25">
      <c r="A74" s="13"/>
      <c r="B74" s="13"/>
      <c r="C74" s="13"/>
      <c r="D74" s="1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x14ac:dyDescent="0.25">
      <c r="A75" s="13"/>
      <c r="B75" s="13"/>
      <c r="C75" s="13"/>
      <c r="D75" s="1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</sheetData>
  <autoFilter ref="A4:R75" xr:uid="{00000000-0009-0000-0000-000006000000}"/>
  <mergeCells count="5">
    <mergeCell ref="A1:R1"/>
    <mergeCell ref="A2:R2"/>
    <mergeCell ref="A3:B3"/>
    <mergeCell ref="C3:I3"/>
    <mergeCell ref="J3:Q3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Valor no válido" error="Seleccione un valor de la lista." xr:uid="{00000000-0002-0000-0600-000000000000}">
          <x14:formula1>
            <xm:f>Listas!$E$2:$E$6</xm:f>
          </x14:formula1>
          <x14:formula2>
            <xm:f>0</xm:f>
          </x14:formula2>
          <xm:sqref>A5:A75</xm:sqref>
        </x14:dataValidation>
        <x14:dataValidation type="list" allowBlank="1" errorTitle="Valor no válido" error="Seleccione un valor de la lista." xr:uid="{00000000-0002-0000-0600-000001000000}">
          <x14:formula1>
            <xm:f>Listas!$B$2:$B$4</xm:f>
          </x14:formula1>
          <x14:formula2>
            <xm:f>0</xm:f>
          </x14:formula2>
          <xm:sqref>C5:C75</xm:sqref>
        </x14:dataValidation>
        <x14:dataValidation type="list" allowBlank="1" errorTitle="Valor no válido" error="Seleccione un valor de la lista." xr:uid="{00000000-0002-0000-0600-000002000000}">
          <x14:formula1>
            <xm:f>Listas!$A$2:$A$3</xm:f>
          </x14:formula1>
          <x14:formula2>
            <xm:f>0</xm:f>
          </x14:formula2>
          <xm:sqref>E5:E75 P5:Q75 K5:O75 G5:J75</xm:sqref>
        </x14:dataValidation>
        <x14:dataValidation type="list" allowBlank="1" errorTitle="Valor no válido" error="Seleccione un valor de la lista." xr:uid="{00000000-0002-0000-0600-000003000000}">
          <x14:formula1>
            <xm:f>Listas!$C$2:$C$4</xm:f>
          </x14:formula1>
          <x14:formula2>
            <xm:f>0</xm:f>
          </x14:formula2>
          <xm:sqref>F5:F75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O17"/>
  <sheetViews>
    <sheetView topLeftCell="H1" zoomScaleNormal="100" workbookViewId="0">
      <pane ySplit="4" topLeftCell="A5" activePane="bottomLeft" state="frozen"/>
      <selection pane="bottomLeft" activeCell="O5" sqref="O5:O14"/>
    </sheetView>
  </sheetViews>
  <sheetFormatPr baseColWidth="10" defaultColWidth="8.7109375" defaultRowHeight="15" x14ac:dyDescent="0.25"/>
  <cols>
    <col min="1" max="1" width="7" customWidth="1"/>
    <col min="2" max="3" width="12" customWidth="1"/>
    <col min="4" max="4" width="16" customWidth="1"/>
    <col min="5" max="5" width="12" customWidth="1"/>
    <col min="6" max="6" width="16" customWidth="1"/>
    <col min="7" max="7" width="22" customWidth="1"/>
    <col min="8" max="8" width="16" customWidth="1"/>
    <col min="9" max="11" width="14" customWidth="1"/>
    <col min="12" max="12" width="16" customWidth="1"/>
    <col min="13" max="14" width="22" customWidth="1"/>
    <col min="15" max="15" width="30" customWidth="1"/>
  </cols>
  <sheetData>
    <row r="1" spans="1:15" ht="25.5" customHeight="1" x14ac:dyDescent="0.25">
      <c r="A1" s="27" t="s">
        <v>231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31.5" customHeight="1" x14ac:dyDescent="0.25">
      <c r="A2" s="28" t="s">
        <v>232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1.75" customHeight="1" x14ac:dyDescent="0.25">
      <c r="A3" s="1" t="s">
        <v>155</v>
      </c>
      <c r="B3" s="29" t="s">
        <v>233</v>
      </c>
      <c r="C3" s="29"/>
      <c r="D3" s="29"/>
      <c r="E3" s="29"/>
      <c r="F3" s="29" t="s">
        <v>234</v>
      </c>
      <c r="G3" s="29"/>
      <c r="H3" s="1"/>
      <c r="I3" s="29" t="s">
        <v>235</v>
      </c>
      <c r="J3" s="29"/>
      <c r="K3" s="29"/>
      <c r="L3" s="29"/>
      <c r="M3" s="29"/>
      <c r="N3" s="1"/>
      <c r="O3" s="1" t="s">
        <v>159</v>
      </c>
    </row>
    <row r="4" spans="1:15" ht="40.9" customHeight="1" x14ac:dyDescent="0.25">
      <c r="A4" s="5" t="s">
        <v>42</v>
      </c>
      <c r="B4" s="5" t="s">
        <v>314</v>
      </c>
      <c r="C4" s="5" t="s">
        <v>318</v>
      </c>
      <c r="D4" s="5" t="s">
        <v>317</v>
      </c>
      <c r="E4" s="5" t="s">
        <v>236</v>
      </c>
      <c r="F4" s="5" t="s">
        <v>237</v>
      </c>
      <c r="G4" s="5" t="s">
        <v>238</v>
      </c>
      <c r="H4" s="5" t="s">
        <v>239</v>
      </c>
      <c r="I4" s="5" t="s">
        <v>322</v>
      </c>
      <c r="J4" s="5" t="s">
        <v>320</v>
      </c>
      <c r="K4" s="5" t="s">
        <v>321</v>
      </c>
      <c r="L4" s="5" t="s">
        <v>240</v>
      </c>
      <c r="M4" s="5" t="s">
        <v>241</v>
      </c>
      <c r="N4" s="5" t="s">
        <v>319</v>
      </c>
      <c r="O4" s="5" t="s">
        <v>323</v>
      </c>
    </row>
    <row r="5" spans="1:15" ht="26.45" customHeight="1" x14ac:dyDescent="0.25">
      <c r="A5" s="23">
        <v>1</v>
      </c>
      <c r="B5" s="5" t="s">
        <v>315</v>
      </c>
      <c r="C5" s="25"/>
      <c r="D5" s="25"/>
      <c r="E5" s="25"/>
      <c r="F5" s="23"/>
      <c r="G5" s="23"/>
      <c r="H5" s="25">
        <v>1</v>
      </c>
      <c r="I5" s="23" t="s">
        <v>178</v>
      </c>
      <c r="J5" s="23" t="s">
        <v>242</v>
      </c>
      <c r="K5" s="23" t="s">
        <v>178</v>
      </c>
      <c r="L5" s="23" t="s">
        <v>197</v>
      </c>
      <c r="M5" s="23"/>
      <c r="N5" s="23"/>
      <c r="O5" s="23" t="s">
        <v>243</v>
      </c>
    </row>
    <row r="6" spans="1:15" x14ac:dyDescent="0.25">
      <c r="A6" s="24"/>
      <c r="B6" s="5" t="s">
        <v>316</v>
      </c>
      <c r="C6" s="26"/>
      <c r="D6" s="26"/>
      <c r="E6" s="26"/>
      <c r="F6" s="24"/>
      <c r="G6" s="24"/>
      <c r="H6" s="26"/>
      <c r="I6" s="24"/>
      <c r="J6" s="24"/>
      <c r="K6" s="24"/>
      <c r="L6" s="24"/>
      <c r="M6" s="24"/>
      <c r="N6" s="24"/>
      <c r="O6" s="24"/>
    </row>
    <row r="7" spans="1:15" x14ac:dyDescent="0.25">
      <c r="A7" s="23">
        <v>2</v>
      </c>
      <c r="B7" s="5" t="s">
        <v>315</v>
      </c>
      <c r="C7" s="25"/>
      <c r="D7" s="25"/>
      <c r="E7" s="25"/>
      <c r="F7" s="23"/>
      <c r="G7" s="23"/>
      <c r="H7" s="25">
        <v>2</v>
      </c>
      <c r="I7" s="23" t="s">
        <v>178</v>
      </c>
      <c r="J7" s="23" t="s">
        <v>242</v>
      </c>
      <c r="K7" s="23" t="s">
        <v>178</v>
      </c>
      <c r="L7" s="23" t="s">
        <v>197</v>
      </c>
      <c r="M7" s="23"/>
      <c r="N7" s="23"/>
      <c r="O7" s="23" t="s">
        <v>243</v>
      </c>
    </row>
    <row r="8" spans="1:15" x14ac:dyDescent="0.25">
      <c r="A8" s="24"/>
      <c r="B8" s="5" t="s">
        <v>316</v>
      </c>
      <c r="C8" s="26"/>
      <c r="D8" s="26"/>
      <c r="E8" s="26"/>
      <c r="F8" s="24"/>
      <c r="G8" s="24"/>
      <c r="H8" s="26"/>
      <c r="I8" s="24"/>
      <c r="J8" s="24"/>
      <c r="K8" s="24"/>
      <c r="L8" s="24"/>
      <c r="M8" s="24"/>
      <c r="N8" s="24"/>
      <c r="O8" s="24"/>
    </row>
    <row r="9" spans="1:15" x14ac:dyDescent="0.25">
      <c r="A9" s="23">
        <v>3</v>
      </c>
      <c r="B9" s="5" t="s">
        <v>315</v>
      </c>
      <c r="C9" s="25"/>
      <c r="D9" s="25"/>
      <c r="E9" s="25"/>
      <c r="F9" s="23"/>
      <c r="G9" s="23"/>
      <c r="H9" s="25">
        <v>3</v>
      </c>
      <c r="I9" s="23" t="s">
        <v>178</v>
      </c>
      <c r="J9" s="23" t="s">
        <v>242</v>
      </c>
      <c r="K9" s="23" t="s">
        <v>178</v>
      </c>
      <c r="L9" s="23" t="s">
        <v>197</v>
      </c>
      <c r="M9" s="23"/>
      <c r="N9" s="23"/>
      <c r="O9" s="23" t="s">
        <v>243</v>
      </c>
    </row>
    <row r="10" spans="1:15" x14ac:dyDescent="0.25">
      <c r="A10" s="24"/>
      <c r="B10" s="5" t="s">
        <v>316</v>
      </c>
      <c r="C10" s="26"/>
      <c r="D10" s="26"/>
      <c r="E10" s="26"/>
      <c r="F10" s="24"/>
      <c r="G10" s="24"/>
      <c r="H10" s="26"/>
      <c r="I10" s="24"/>
      <c r="J10" s="24"/>
      <c r="K10" s="24"/>
      <c r="L10" s="24"/>
      <c r="M10" s="24"/>
      <c r="N10" s="24"/>
      <c r="O10" s="24"/>
    </row>
    <row r="11" spans="1:15" x14ac:dyDescent="0.25">
      <c r="A11" s="23">
        <v>4</v>
      </c>
      <c r="B11" s="5" t="s">
        <v>315</v>
      </c>
      <c r="C11" s="25"/>
      <c r="D11" s="25"/>
      <c r="E11" s="25"/>
      <c r="F11" s="23"/>
      <c r="G11" s="23"/>
      <c r="H11" s="25">
        <v>4</v>
      </c>
      <c r="I11" s="23" t="s">
        <v>178</v>
      </c>
      <c r="J11" s="23" t="s">
        <v>242</v>
      </c>
      <c r="K11" s="23" t="s">
        <v>178</v>
      </c>
      <c r="L11" s="23" t="s">
        <v>197</v>
      </c>
      <c r="M11" s="23"/>
      <c r="N11" s="23"/>
      <c r="O11" s="23" t="s">
        <v>243</v>
      </c>
    </row>
    <row r="12" spans="1:15" x14ac:dyDescent="0.25">
      <c r="A12" s="24"/>
      <c r="B12" s="5" t="s">
        <v>316</v>
      </c>
      <c r="C12" s="26"/>
      <c r="D12" s="26"/>
      <c r="E12" s="26"/>
      <c r="F12" s="24"/>
      <c r="G12" s="24"/>
      <c r="H12" s="26"/>
      <c r="I12" s="24"/>
      <c r="J12" s="24"/>
      <c r="K12" s="24"/>
      <c r="L12" s="24"/>
      <c r="M12" s="24"/>
      <c r="N12" s="24"/>
      <c r="O12" s="24"/>
    </row>
    <row r="13" spans="1:15" x14ac:dyDescent="0.25">
      <c r="A13" s="23">
        <v>5</v>
      </c>
      <c r="B13" s="5" t="s">
        <v>315</v>
      </c>
      <c r="C13" s="25"/>
      <c r="D13" s="25"/>
      <c r="E13" s="25"/>
      <c r="F13" s="23"/>
      <c r="G13" s="23"/>
      <c r="H13" s="25">
        <v>5</v>
      </c>
      <c r="I13" s="23" t="s">
        <v>178</v>
      </c>
      <c r="J13" s="23" t="s">
        <v>242</v>
      </c>
      <c r="K13" s="23" t="s">
        <v>178</v>
      </c>
      <c r="L13" s="23" t="s">
        <v>197</v>
      </c>
      <c r="M13" s="23"/>
      <c r="N13" s="23"/>
      <c r="O13" s="23" t="s">
        <v>243</v>
      </c>
    </row>
    <row r="14" spans="1:15" x14ac:dyDescent="0.25">
      <c r="A14" s="24"/>
      <c r="B14" s="5" t="s">
        <v>316</v>
      </c>
      <c r="C14" s="26"/>
      <c r="D14" s="26"/>
      <c r="E14" s="26"/>
      <c r="F14" s="24"/>
      <c r="G14" s="24"/>
      <c r="H14" s="26"/>
      <c r="I14" s="24"/>
      <c r="J14" s="24"/>
      <c r="K14" s="24"/>
      <c r="L14" s="24"/>
      <c r="M14" s="24"/>
      <c r="N14" s="24"/>
      <c r="O14" s="24"/>
    </row>
    <row r="17" spans="6:6" x14ac:dyDescent="0.25">
      <c r="F17" s="20"/>
    </row>
  </sheetData>
  <autoFilter ref="A4:O9" xr:uid="{00000000-0009-0000-0000-000007000000}"/>
  <mergeCells count="75">
    <mergeCell ref="A1:O1"/>
    <mergeCell ref="A2:O2"/>
    <mergeCell ref="B3:E3"/>
    <mergeCell ref="F3:G3"/>
    <mergeCell ref="I3:M3"/>
    <mergeCell ref="A5:A6"/>
    <mergeCell ref="C5:C6"/>
    <mergeCell ref="D5:D6"/>
    <mergeCell ref="A7:A8"/>
    <mergeCell ref="A9:A10"/>
    <mergeCell ref="D7:D8"/>
    <mergeCell ref="D9:D10"/>
    <mergeCell ref="A11:A12"/>
    <mergeCell ref="A13:A14"/>
    <mergeCell ref="C7:C8"/>
    <mergeCell ref="C9:C10"/>
    <mergeCell ref="C11:C12"/>
    <mergeCell ref="C13:C14"/>
    <mergeCell ref="D11:D12"/>
    <mergeCell ref="D13:D14"/>
    <mergeCell ref="E5:E6"/>
    <mergeCell ref="E7:E8"/>
    <mergeCell ref="E9:E10"/>
    <mergeCell ref="E11:E12"/>
    <mergeCell ref="E13:E14"/>
    <mergeCell ref="F5:F6"/>
    <mergeCell ref="F7:F8"/>
    <mergeCell ref="F9:F10"/>
    <mergeCell ref="F11:F12"/>
    <mergeCell ref="F13:F14"/>
    <mergeCell ref="G5:G6"/>
    <mergeCell ref="G7:G8"/>
    <mergeCell ref="G9:G10"/>
    <mergeCell ref="G11:G12"/>
    <mergeCell ref="G13:G14"/>
    <mergeCell ref="H5:H6"/>
    <mergeCell ref="H7:H8"/>
    <mergeCell ref="H9:H10"/>
    <mergeCell ref="H11:H12"/>
    <mergeCell ref="H13:H14"/>
    <mergeCell ref="I5:I6"/>
    <mergeCell ref="I7:I8"/>
    <mergeCell ref="I9:I10"/>
    <mergeCell ref="I11:I12"/>
    <mergeCell ref="I13:I14"/>
    <mergeCell ref="J5:J6"/>
    <mergeCell ref="J7:J8"/>
    <mergeCell ref="J9:J10"/>
    <mergeCell ref="J11:J12"/>
    <mergeCell ref="J13:J14"/>
    <mergeCell ref="K5:K6"/>
    <mergeCell ref="K7:K8"/>
    <mergeCell ref="K9:K10"/>
    <mergeCell ref="K11:K12"/>
    <mergeCell ref="K13:K14"/>
    <mergeCell ref="L5:L6"/>
    <mergeCell ref="L7:L8"/>
    <mergeCell ref="L9:L10"/>
    <mergeCell ref="L11:L12"/>
    <mergeCell ref="L13:L14"/>
    <mergeCell ref="M5:M6"/>
    <mergeCell ref="M7:M8"/>
    <mergeCell ref="M9:M10"/>
    <mergeCell ref="M11:M12"/>
    <mergeCell ref="M13:M14"/>
    <mergeCell ref="N5:N6"/>
    <mergeCell ref="N7:N8"/>
    <mergeCell ref="N9:N10"/>
    <mergeCell ref="N11:N12"/>
    <mergeCell ref="N13:N14"/>
    <mergeCell ref="O5:O6"/>
    <mergeCell ref="O7:O8"/>
    <mergeCell ref="O9:O10"/>
    <mergeCell ref="O11:O12"/>
    <mergeCell ref="O13:O14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de la lista." xr:uid="{00000000-0002-0000-0700-000000000000}">
          <x14:formula1>
            <xm:f>Listas!$A$2:$A$3</xm:f>
          </x14:formula1>
          <x14:formula2>
            <xm:f>0</xm:f>
          </x14:formula2>
          <xm:sqref>F13 F5 F7 F9 F11 L5 L7 L9 L11 L13</xm:sqref>
        </x14:dataValidation>
        <x14:dataValidation type="list" allowBlank="1" errorTitle="Valor no válido" error="Seleccione un valor de la lista." xr:uid="{00000000-0002-0000-0700-000001000000}">
          <x14:formula1>
            <xm:f>Listas!$D$2:$D$4</xm:f>
          </x14:formula1>
          <x14:formula2>
            <xm:f>0</xm:f>
          </x14:formula2>
          <xm:sqref>I13:K13 I7:K7 I9:K9 I11:K11 I5:K5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9"/>
  <sheetViews>
    <sheetView topLeftCell="M5" zoomScaleNormal="100" workbookViewId="0">
      <selection activeCell="S8" sqref="S8"/>
    </sheetView>
  </sheetViews>
  <sheetFormatPr baseColWidth="10" defaultColWidth="8.7109375" defaultRowHeight="15" x14ac:dyDescent="0.25"/>
  <cols>
    <col min="1" max="17" width="24" customWidth="1"/>
    <col min="18" max="18" width="34.42578125" customWidth="1"/>
  </cols>
  <sheetData>
    <row r="1" spans="1:18" x14ac:dyDescent="0.25">
      <c r="A1" s="16" t="s">
        <v>244</v>
      </c>
      <c r="B1" s="16" t="s">
        <v>245</v>
      </c>
      <c r="C1" s="16" t="s">
        <v>246</v>
      </c>
      <c r="D1" s="16" t="s">
        <v>158</v>
      </c>
      <c r="E1" s="16" t="s">
        <v>42</v>
      </c>
      <c r="F1" s="16" t="s">
        <v>247</v>
      </c>
      <c r="G1" s="16" t="s">
        <v>248</v>
      </c>
      <c r="H1" s="16" t="s">
        <v>166</v>
      </c>
      <c r="I1" s="16" t="s">
        <v>249</v>
      </c>
      <c r="J1" s="16" t="s">
        <v>292</v>
      </c>
      <c r="K1" s="16" t="s">
        <v>191</v>
      </c>
      <c r="L1" s="16" t="s">
        <v>203</v>
      </c>
      <c r="M1" s="16" t="s">
        <v>207</v>
      </c>
      <c r="N1" s="16" t="s">
        <v>250</v>
      </c>
      <c r="O1" s="16" t="s">
        <v>129</v>
      </c>
      <c r="P1" s="16" t="s">
        <v>46</v>
      </c>
      <c r="Q1" s="16" t="s">
        <v>54</v>
      </c>
      <c r="R1" s="16" t="s">
        <v>308</v>
      </c>
    </row>
    <row r="2" spans="1:18" x14ac:dyDescent="0.25">
      <c r="A2" t="s">
        <v>176</v>
      </c>
      <c r="B2" t="s">
        <v>176</v>
      </c>
      <c r="C2" t="s">
        <v>176</v>
      </c>
      <c r="D2" t="s">
        <v>178</v>
      </c>
      <c r="E2" t="s">
        <v>251</v>
      </c>
      <c r="F2" t="s">
        <v>55</v>
      </c>
      <c r="G2" t="s">
        <v>174</v>
      </c>
      <c r="H2" t="s">
        <v>175</v>
      </c>
      <c r="I2" t="s">
        <v>177</v>
      </c>
      <c r="J2" t="s">
        <v>293</v>
      </c>
      <c r="K2" t="s">
        <v>196</v>
      </c>
      <c r="L2" t="s">
        <v>208</v>
      </c>
      <c r="M2" t="s">
        <v>211</v>
      </c>
      <c r="N2" t="s">
        <v>252</v>
      </c>
      <c r="O2" t="s">
        <v>177</v>
      </c>
      <c r="P2" t="s">
        <v>47</v>
      </c>
      <c r="Q2" t="s">
        <v>55</v>
      </c>
      <c r="R2" s="22" t="s">
        <v>325</v>
      </c>
    </row>
    <row r="3" spans="1:18" x14ac:dyDescent="0.25">
      <c r="A3" t="s">
        <v>197</v>
      </c>
      <c r="B3" t="s">
        <v>197</v>
      </c>
      <c r="C3" t="s">
        <v>197</v>
      </c>
      <c r="D3" t="s">
        <v>242</v>
      </c>
      <c r="E3" t="s">
        <v>253</v>
      </c>
      <c r="F3" t="s">
        <v>56</v>
      </c>
      <c r="G3" t="s">
        <v>254</v>
      </c>
      <c r="H3" t="s">
        <v>255</v>
      </c>
      <c r="I3" t="s">
        <v>256</v>
      </c>
      <c r="J3" t="s">
        <v>294</v>
      </c>
      <c r="K3" t="s">
        <v>257</v>
      </c>
      <c r="L3" t="s">
        <v>258</v>
      </c>
      <c r="M3" t="s">
        <v>56</v>
      </c>
      <c r="N3" t="s">
        <v>259</v>
      </c>
      <c r="O3" t="s">
        <v>260</v>
      </c>
      <c r="P3" t="s">
        <v>48</v>
      </c>
      <c r="Q3" t="s">
        <v>56</v>
      </c>
      <c r="R3" s="22" t="s">
        <v>326</v>
      </c>
    </row>
    <row r="4" spans="1:18" x14ac:dyDescent="0.25">
      <c r="B4" t="s">
        <v>261</v>
      </c>
      <c r="D4" t="s">
        <v>262</v>
      </c>
      <c r="E4" t="s">
        <v>263</v>
      </c>
      <c r="F4" t="s">
        <v>57</v>
      </c>
      <c r="G4" t="s">
        <v>264</v>
      </c>
      <c r="H4" t="s">
        <v>265</v>
      </c>
      <c r="I4" t="s">
        <v>266</v>
      </c>
      <c r="J4" t="s">
        <v>295</v>
      </c>
      <c r="K4" t="s">
        <v>267</v>
      </c>
      <c r="L4" t="s">
        <v>268</v>
      </c>
      <c r="M4" t="s">
        <v>269</v>
      </c>
      <c r="N4" t="s">
        <v>270</v>
      </c>
      <c r="O4" t="s">
        <v>266</v>
      </c>
      <c r="P4" t="s">
        <v>49</v>
      </c>
      <c r="Q4" t="s">
        <v>57</v>
      </c>
      <c r="R4" s="22" t="s">
        <v>327</v>
      </c>
    </row>
    <row r="5" spans="1:18" x14ac:dyDescent="0.25">
      <c r="E5" t="s">
        <v>271</v>
      </c>
      <c r="F5" t="s">
        <v>59</v>
      </c>
      <c r="H5" t="s">
        <v>272</v>
      </c>
      <c r="I5" t="s">
        <v>273</v>
      </c>
      <c r="J5" t="s">
        <v>274</v>
      </c>
      <c r="K5" t="s">
        <v>275</v>
      </c>
      <c r="L5" t="s">
        <v>276</v>
      </c>
      <c r="M5" t="s">
        <v>277</v>
      </c>
      <c r="N5" t="s">
        <v>278</v>
      </c>
      <c r="O5" t="s">
        <v>279</v>
      </c>
      <c r="P5" t="s">
        <v>50</v>
      </c>
      <c r="Q5" t="s">
        <v>58</v>
      </c>
      <c r="R5" s="22" t="s">
        <v>328</v>
      </c>
    </row>
    <row r="6" spans="1:18" x14ac:dyDescent="0.25">
      <c r="E6" t="s">
        <v>280</v>
      </c>
      <c r="F6" t="s">
        <v>60</v>
      </c>
      <c r="H6" t="s">
        <v>281</v>
      </c>
      <c r="I6" t="s">
        <v>260</v>
      </c>
      <c r="L6" t="s">
        <v>282</v>
      </c>
      <c r="M6" t="s">
        <v>283</v>
      </c>
      <c r="N6" t="s">
        <v>52</v>
      </c>
      <c r="O6" t="s">
        <v>278</v>
      </c>
      <c r="P6" t="s">
        <v>51</v>
      </c>
      <c r="Q6" t="s">
        <v>59</v>
      </c>
      <c r="R6" s="22" t="s">
        <v>329</v>
      </c>
    </row>
    <row r="7" spans="1:18" x14ac:dyDescent="0.25">
      <c r="F7" t="s">
        <v>69</v>
      </c>
      <c r="H7" t="s">
        <v>284</v>
      </c>
      <c r="L7" t="s">
        <v>285</v>
      </c>
      <c r="M7" t="s">
        <v>52</v>
      </c>
      <c r="P7" t="s">
        <v>52</v>
      </c>
      <c r="Q7" t="s">
        <v>60</v>
      </c>
      <c r="R7" s="22" t="s">
        <v>330</v>
      </c>
    </row>
    <row r="8" spans="1:18" x14ac:dyDescent="0.25">
      <c r="F8" t="s">
        <v>63</v>
      </c>
      <c r="L8" t="s">
        <v>286</v>
      </c>
      <c r="Q8" t="s">
        <v>61</v>
      </c>
      <c r="R8" s="22" t="s">
        <v>331</v>
      </c>
    </row>
    <row r="9" spans="1:18" x14ac:dyDescent="0.25">
      <c r="F9" t="s">
        <v>58</v>
      </c>
      <c r="Q9" t="s">
        <v>63</v>
      </c>
      <c r="R9" s="22" t="s">
        <v>332</v>
      </c>
    </row>
    <row r="10" spans="1:18" x14ac:dyDescent="0.25">
      <c r="F10" t="s">
        <v>61</v>
      </c>
      <c r="Q10" t="s">
        <v>64</v>
      </c>
      <c r="R10" s="22" t="s">
        <v>333</v>
      </c>
    </row>
    <row r="11" spans="1:18" x14ac:dyDescent="0.25">
      <c r="F11" t="s">
        <v>287</v>
      </c>
      <c r="Q11" t="s">
        <v>65</v>
      </c>
      <c r="R11" s="22" t="s">
        <v>334</v>
      </c>
    </row>
    <row r="12" spans="1:18" x14ac:dyDescent="0.25">
      <c r="F12" t="s">
        <v>52</v>
      </c>
      <c r="Q12" t="s">
        <v>66</v>
      </c>
      <c r="R12" s="22" t="s">
        <v>335</v>
      </c>
    </row>
    <row r="13" spans="1:18" x14ac:dyDescent="0.25">
      <c r="Q13" t="s">
        <v>67</v>
      </c>
      <c r="R13" s="22" t="s">
        <v>336</v>
      </c>
    </row>
    <row r="14" spans="1:18" x14ac:dyDescent="0.25">
      <c r="Q14" t="s">
        <v>68</v>
      </c>
      <c r="R14" s="22" t="s">
        <v>337</v>
      </c>
    </row>
    <row r="15" spans="1:18" ht="30" x14ac:dyDescent="0.25">
      <c r="Q15" t="s">
        <v>69</v>
      </c>
      <c r="R15" s="22" t="s">
        <v>338</v>
      </c>
    </row>
    <row r="16" spans="1:18" x14ac:dyDescent="0.25">
      <c r="Q16" t="s">
        <v>70</v>
      </c>
      <c r="R16" s="22" t="s">
        <v>339</v>
      </c>
    </row>
    <row r="17" spans="17:18" x14ac:dyDescent="0.25">
      <c r="Q17" t="s">
        <v>52</v>
      </c>
      <c r="R17" s="22" t="s">
        <v>340</v>
      </c>
    </row>
    <row r="18" spans="17:18" x14ac:dyDescent="0.25">
      <c r="R18" s="22" t="s">
        <v>341</v>
      </c>
    </row>
    <row r="19" spans="17:18" x14ac:dyDescent="0.25">
      <c r="R19" s="22" t="s">
        <v>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Instrucciones</vt:lpstr>
      <vt:lpstr>Resumen</vt:lpstr>
      <vt:lpstr>Datos Generales</vt:lpstr>
      <vt:lpstr>Inventario Espacios</vt:lpstr>
      <vt:lpstr>Mobiliario y Equipo</vt:lpstr>
      <vt:lpstr>Horarios de Uso</vt:lpstr>
      <vt:lpstr>Accesibilidad y Seguridad</vt:lpstr>
      <vt:lpstr>Instalaciones por Piso</vt:lpstr>
      <vt:lpstr>Listas</vt:lpstr>
      <vt:lpstr>Bueno</vt:lpstr>
      <vt:lpstr>Malo</vt:lpstr>
      <vt:lpstr>Operativo_y_estéticamente_aceptable._Presenta_marcas_superficiales_mínimas_propias_del_uso_reciente__pero_no_afectan_la_apariencia_general_ni_la_seguridad.</vt:lpstr>
      <vt:lpstr>Regular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Yuliana Pinzón Fonseca</cp:lastModifiedBy>
  <cp:revision>0</cp:revision>
  <dcterms:created xsi:type="dcterms:W3CDTF">2026-08-30T21:48:12Z</dcterms:created>
  <dcterms:modified xsi:type="dcterms:W3CDTF">2026-09-04T03:55:19Z</dcterms:modified>
  <dc:language>en-US</dc:language>
</cp:coreProperties>
</file>